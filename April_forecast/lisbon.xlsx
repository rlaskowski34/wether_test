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3e19c45cb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ather_data" sheetId="1" r:id="R0afcb22028114412"/>
    <x:sheet xmlns:r="http://schemas.openxmlformats.org/officeDocument/2006/relationships" name="README" sheetId="2" r:id="R6c2d763a08b24381"/>
    <x:sheet xmlns:r="http://schemas.openxmlformats.org/officeDocument/2006/relationships" name="viz_helper" sheetId="3" r:id="R1cc2a1848d9647b5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Synthetic dataset generated to resemble Lisbon weather over the last 12 months. Fields match your Python project structure and are suitable for visualizations.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Derived helper fields to speed up charts and pivot tables.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 h:mm:ss"/>
    <x:numFmt numFmtId="165" formatCode="yyyy-mm-dd hh:mm"/>
    <x:numFmt numFmtId="166" formatCode="0.0"/>
    <x:numFmt numFmtId="167" formatCode="yyyy-mm-dd"/>
  </x:numFmts>
  <x:fonts count="5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  <x:color rgb="001F1F1F"/>
    </x:font>
    <x:font>
      <x:b/>
    </x:font>
    <x:font>
      <x:color rgb="00000000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EAF2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0" xfId="0" applyAlignment="1">
      <x:alignment horizontal="center" vertical="center"/>
    </x:xf>
    <x:xf numFmtId="165" fontId="0" fillId="0" borderId="0" xfId="0"/>
    <x:xf numFmtId="166" fontId="0" fillId="0" borderId="0" xfId="0"/>
    <x:xf numFmtId="1" fontId="0" fillId="0" borderId="0" xfId="0"/>
    <x:xf numFmtId="0" fontId="2" fillId="3" borderId="0" xfId="0"/>
    <x:xf numFmtId="0" fontId="3" fillId="4" borderId="0" xfId="0"/>
    <x:xf numFmtId="167" fontId="0" fillId="0" borderId="0" xfId="0"/>
    <x:xf numFmtId="165" fontId="4" fillId="0" borderId="0" xfId="0"/>
    <x:xf numFmtId="167" fontId="4" fillId="0" borderId="0" xfId="0"/>
    <x:xf numFmtId="0" fontId="4" fillId="0" borderId="0" xfId="0"/>
    <x:xf numFmtId="166" fontId="4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dccedce660428d" /><Relationship Type="http://schemas.openxmlformats.org/officeDocument/2006/relationships/theme" Target="/xl/theme/theme1.xml" Id="Rf61389903a03415f" /><Relationship Type="http://schemas.openxmlformats.org/officeDocument/2006/relationships/sharedStrings" Target="/xl/sharedStrings.xml" Id="Re86a9db7bf99420d" /><Relationship Type="http://schemas.openxmlformats.org/officeDocument/2006/relationships/worksheet" Target="/xl/worksheets/sheet1.xml" Id="R0afcb22028114412" /><Relationship Type="http://schemas.openxmlformats.org/officeDocument/2006/relationships/worksheet" Target="/xl/worksheets/sheet2.xml" Id="R6c2d763a08b24381" /><Relationship Type="http://schemas.openxmlformats.org/officeDocument/2006/relationships/worksheet" Target="/xl/worksheets/sheet3.xml" Id="R1cc2a1848d9647b5" /><Relationship Type="http://schemas.microsoft.com/office/2017/10/relationships/person" Target="/xl/persons/person.xml" Id="Re8986be3432f4462" /></Relationships>
</file>

<file path=xl/persons/person.xml><?xml version="1.0" encoding="utf-8"?>
<xltc:personList xmlns:xltc="http://schemas.microsoft.com/office/spreadsheetml/2018/threadedcomments">
  <xltc:person displayName="OpenAI" id="{387739C1-DF38-B40B-770D-8034079241B7}"/>
  <xltc:person displayName="OpenAI" id="{1F9AEA14-E193-9263-5687-0FB99E8DB091}"/>
</xltc:personList>
</file>

<file path=xl/tables/table1.xml><?xml version="1.0" encoding="utf-8"?>
<x:table xmlns:x="http://schemas.openxmlformats.org/spreadsheetml/2006/main" id="1" name="WeatherData" displayName="WeatherData" ref="A1:I351" headerRowCount="1">
  <x:autoFilter ref="A1:I351"/>
  <x:tableColumns count="9">
    <x:tableColumn id="1" name="record_id"/>
    <x:tableColumn id="2" name="timestamp"/>
    <x:tableColumn id="3" name="name"/>
    <x:tableColumn id="4" name="temp_c"/>
    <x:tableColumn id="5" name="feels_like_c"/>
    <x:tableColumn id="6" name="humidity_pct"/>
    <x:tableColumn id="7" name="pressure_hpa"/>
    <x:tableColumn id="8" name="description"/>
    <x:tableColumn id="9" name="wind_speed_kmh"/>
  </x:tableColumns>
  <x:tableStyleInfo name="TableStyleMedium2" showRowStripes="1"/>
</x:table>
</file>

<file path=xl/tables/table2.xml><?xml version="1.0" encoding="utf-8"?>
<x:table xmlns:x="http://schemas.openxmlformats.org/spreadsheetml/2006/main" id="2" name="VizHelper" displayName="VizHelper" ref="A1:J351" headerRowCount="1">
  <x:autoFilter ref="A1:J351"/>
  <x:tableColumns count="10">
    <x:tableColumn id="1" name="timestamp"/>
    <x:tableColumn id="2" name="date_only"/>
    <x:tableColumn id="3" name="year_month"/>
    <x:tableColumn id="4" name="month_num"/>
    <x:tableColumn id="5" name="month_name"/>
    <x:tableColumn id="6" name="quarter"/>
    <x:tableColumn id="7" name="season"/>
    <x:tableColumn id="8" name="temp_delta"/>
    <x:tableColumn id="9" name="rainy_flag"/>
    <x:tableColumn id="10" name="windy_flag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39700c35f0f4c80" /><Relationship Type="http://schemas.openxmlformats.org/officeDocument/2006/relationships/vmlDrawing" Target="/xl/drawings/vmldrawing.vml" Id="R7803c6bb588647d9" /><Relationship Type="http://schemas.openxmlformats.org/officeDocument/2006/relationships/table" Target="/xl/tables/table1.xml" Id="R836c48a1c2ce49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04eac9b5ff644ba2" /><Relationship Type="http://schemas.openxmlformats.org/officeDocument/2006/relationships/vmlDrawing" Target="/xl/drawings/vmldrawing2.vml" Id="R7a6f794e0d7d4d84" /><Relationship Type="http://schemas.openxmlformats.org/officeDocument/2006/relationships/table" Target="/xl/tables/table2.xml" Id="R10de189ca0624b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9" customWidth="1"/>
    <x:col min="3" max="3" width="12" customWidth="1"/>
    <x:col min="4" max="4" width="10" customWidth="1"/>
    <x:col min="5" max="5" width="12" customWidth="1"/>
    <x:col min="6" max="6" width="12" customWidth="1"/>
    <x:col min="7" max="7" width="12" customWidth="1"/>
    <x:col min="8" max="8" width="20" customWidth="1"/>
    <x:col min="9" max="9" width="14" customWidth="1"/>
  </x:cols>
  <x:sheetData>
    <x:row r="1">
      <x:c r="A1" s="1" t="inlineStr">
        <x:is>
          <x:t xml:space="preserve">record_id</x:t>
        </x:is>
      </x:c>
      <x:c r="B1" s="1" t="inlineStr">
        <x:is>
          <x:t xml:space="preserve">timestamp</x:t>
        </x:is>
      </x:c>
      <x:c r="C1" s="1" t="inlineStr">
        <x:is>
          <x:t xml:space="preserve">name</x:t>
        </x:is>
      </x:c>
      <x:c r="D1" s="1" t="inlineStr">
        <x:is>
          <x:t xml:space="preserve">temp_c</x:t>
        </x:is>
      </x:c>
      <x:c r="E1" s="1" t="inlineStr">
        <x:is>
          <x:t xml:space="preserve">feels_like_c</x:t>
        </x:is>
      </x:c>
      <x:c r="F1" s="1" t="inlineStr">
        <x:is>
          <x:t xml:space="preserve">humidity_pct</x:t>
        </x:is>
      </x:c>
      <x:c r="G1" s="1" t="inlineStr">
        <x:is>
          <x:t xml:space="preserve">pressure_hpa</x:t>
        </x:is>
      </x:c>
      <x:c r="H1" s="1" t="inlineStr">
        <x:is>
          <x:t xml:space="preserve">description</x:t>
        </x:is>
      </x:c>
      <x:c r="I1" s="1" t="inlineStr">
        <x:is>
          <x:t xml:space="preserve">wind_speed_kmh</x:t>
        </x:is>
      </x:c>
    </x:row>
    <x:row r="2">
      <x:c r="A2" t="n">
        <x:v>1</x:v>
      </x:c>
      <x:c r="B2" s="2" t="n">
        <x:v>45754.59027777778</x:v>
      </x:c>
      <x:c r="C2" t="inlineStr">
        <x:is>
          <x:t xml:space="preserve">Lisbon</x:t>
        </x:is>
      </x:c>
      <x:c r="D2" s="3" t="n">
        <x:v>15.7</x:v>
      </x:c>
      <x:c r="E2" s="3" t="n">
        <x:v>14.7</x:v>
      </x:c>
      <x:c r="F2" s="4" t="n">
        <x:v>70</x:v>
      </x:c>
      <x:c r="G2" s="4" t="n">
        <x:v>1020</x:v>
      </x:c>
      <x:c r="H2" t="inlineStr">
        <x:is>
          <x:t xml:space="preserve">clear sky</x:t>
        </x:is>
      </x:c>
      <x:c r="I2" s="3" t="n">
        <x:v>18.6</x:v>
      </x:c>
    </x:row>
    <x:row r="3">
      <x:c r="A3" t="n">
        <x:v>2</x:v>
      </x:c>
      <x:c r="B3" s="2" t="n">
        <x:v>45755.70833333334</x:v>
      </x:c>
      <x:c r="C3" t="inlineStr">
        <x:is>
          <x:t xml:space="preserve">Lisbon</x:t>
        </x:is>
      </x:c>
      <x:c r="D3" s="3" t="n">
        <x:v>16.7</x:v>
      </x:c>
      <x:c r="E3" s="3" t="n">
        <x:v>16.9</x:v>
      </x:c>
      <x:c r="F3" s="4" t="n">
        <x:v>85</x:v>
      </x:c>
      <x:c r="G3" s="4" t="n">
        <x:v>1015</x:v>
      </x:c>
      <x:c r="H3" t="inlineStr">
        <x:is>
          <x:t xml:space="preserve">moderate rain</x:t>
        </x:is>
      </x:c>
      <x:c r="I3" s="3" t="n">
        <x:v>26.6</x:v>
      </x:c>
    </x:row>
    <x:row r="4">
      <x:c r="A4" t="n">
        <x:v>3</x:v>
      </x:c>
      <x:c r="B4" s="2" t="n">
        <x:v>45756.55555555555</x:v>
      </x:c>
      <x:c r="C4" t="inlineStr">
        <x:is>
          <x:t xml:space="preserve">Lisbon</x:t>
        </x:is>
      </x:c>
      <x:c r="D4" s="3" t="n">
        <x:v>15.5</x:v>
      </x:c>
      <x:c r="E4" s="3" t="n">
        <x:v>14.6</x:v>
      </x:c>
      <x:c r="F4" s="4" t="n">
        <x:v>77</x:v>
      </x:c>
      <x:c r="G4" s="4" t="n">
        <x:v>1020</x:v>
      </x:c>
      <x:c r="H4" t="inlineStr">
        <x:is>
          <x:t xml:space="preserve">scattered clouds</x:t>
        </x:is>
      </x:c>
      <x:c r="I4" s="3" t="n">
        <x:v>23.3</x:v>
      </x:c>
    </x:row>
    <x:row r="5">
      <x:c r="A5" t="n">
        <x:v>4</x:v>
      </x:c>
      <x:c r="B5" s="2" t="n">
        <x:v>45757.63194444445</x:v>
      </x:c>
      <x:c r="C5" t="inlineStr">
        <x:is>
          <x:t xml:space="preserve">Lisbon</x:t>
        </x:is>
      </x:c>
      <x:c r="D5" s="3" t="n">
        <x:v>18.3</x:v>
      </x:c>
      <x:c r="E5" s="3" t="n">
        <x:v>18.9</x:v>
      </x:c>
      <x:c r="F5" s="4" t="n">
        <x:v>69</x:v>
      </x:c>
      <x:c r="G5" s="4" t="n">
        <x:v>1022</x:v>
      </x:c>
      <x:c r="H5" t="inlineStr">
        <x:is>
          <x:t xml:space="preserve">clear sky</x:t>
        </x:is>
      </x:c>
      <x:c r="I5" s="3" t="n">
        <x:v>17.2</x:v>
      </x:c>
    </x:row>
    <x:row r="6">
      <x:c r="A6" t="n">
        <x:v>5</x:v>
      </x:c>
      <x:c r="B6" s="2" t="n">
        <x:v>45758.86111111111</x:v>
      </x:c>
      <x:c r="C6" t="inlineStr">
        <x:is>
          <x:t xml:space="preserve">Lisbon</x:t>
        </x:is>
      </x:c>
      <x:c r="D6" s="3" t="n">
        <x:v>14.4</x:v>
      </x:c>
      <x:c r="E6" s="3" t="n">
        <x:v>14.6</x:v>
      </x:c>
      <x:c r="F6" s="4" t="n">
        <x:v>65</x:v>
      </x:c>
      <x:c r="G6" s="4" t="n">
        <x:v>1017</x:v>
      </x:c>
      <x:c r="H6" t="inlineStr">
        <x:is>
          <x:t xml:space="preserve">clear sky</x:t>
        </x:is>
      </x:c>
      <x:c r="I6" s="3" t="n">
        <x:v>18.8</x:v>
      </x:c>
    </x:row>
    <x:row r="7">
      <x:c r="A7" t="n">
        <x:v>6</x:v>
      </x:c>
      <x:c r="B7" s="2" t="n">
        <x:v>45759.65277777778</x:v>
      </x:c>
      <x:c r="C7" t="inlineStr">
        <x:is>
          <x:t xml:space="preserve">Lisbon</x:t>
        </x:is>
      </x:c>
      <x:c r="D7" s="3" t="n">
        <x:v>16.1</x:v>
      </x:c>
      <x:c r="E7" s="3" t="n">
        <x:v>16.9</x:v>
      </x:c>
      <x:c r="F7" s="4" t="n">
        <x:v>84</x:v>
      </x:c>
      <x:c r="G7" s="4" t="n">
        <x:v>1016</x:v>
      </x:c>
      <x:c r="H7" t="inlineStr">
        <x:is>
          <x:t xml:space="preserve">light rain</x:t>
        </x:is>
      </x:c>
      <x:c r="I7" s="3" t="n">
        <x:v>19.2</x:v>
      </x:c>
    </x:row>
    <x:row r="8">
      <x:c r="A8" t="n">
        <x:v>7</x:v>
      </x:c>
      <x:c r="B8" s="2" t="n">
        <x:v>45760.28472222222</x:v>
      </x:c>
      <x:c r="C8" t="inlineStr">
        <x:is>
          <x:t xml:space="preserve">Lisbon</x:t>
        </x:is>
      </x:c>
      <x:c r="D8" s="3" t="n">
        <x:v>15</x:v>
      </x:c>
      <x:c r="E8" s="3" t="n">
        <x:v>15.1</x:v>
      </x:c>
      <x:c r="F8" s="4" t="n">
        <x:v>82</x:v>
      </x:c>
      <x:c r="G8" s="4" t="n">
        <x:v>1017</x:v>
      </x:c>
      <x:c r="H8" t="inlineStr">
        <x:is>
          <x:t xml:space="preserve">clear sky</x:t>
        </x:is>
      </x:c>
      <x:c r="I8" s="3" t="n">
        <x:v>21</x:v>
      </x:c>
    </x:row>
    <x:row r="9">
      <x:c r="A9" t="n">
        <x:v>8</x:v>
      </x:c>
      <x:c r="B9" s="2" t="n">
        <x:v>45761.65972222222</x:v>
      </x:c>
      <x:c r="C9" t="inlineStr">
        <x:is>
          <x:t xml:space="preserve">Lisbon</x:t>
        </x:is>
      </x:c>
      <x:c r="D9" s="3" t="n">
        <x:v>17.2</x:v>
      </x:c>
      <x:c r="E9" s="3" t="n">
        <x:v>17.9</x:v>
      </x:c>
      <x:c r="F9" s="4" t="n">
        <x:v>81</x:v>
      </x:c>
      <x:c r="G9" s="4" t="n">
        <x:v>1018</x:v>
      </x:c>
      <x:c r="H9" t="inlineStr">
        <x:is>
          <x:t xml:space="preserve">clear sky</x:t>
        </x:is>
      </x:c>
      <x:c r="I9" s="3" t="n">
        <x:v>25.4</x:v>
      </x:c>
    </x:row>
    <x:row r="10">
      <x:c r="A10" t="n">
        <x:v>9</x:v>
      </x:c>
      <x:c r="B10" s="2" t="n">
        <x:v>45762.38194444445</x:v>
      </x:c>
      <x:c r="C10" t="inlineStr">
        <x:is>
          <x:t xml:space="preserve">Lisbon</x:t>
        </x:is>
      </x:c>
      <x:c r="D10" s="3" t="n">
        <x:v>16.3</x:v>
      </x:c>
      <x:c r="E10" s="3" t="n">
        <x:v>16.3</x:v>
      </x:c>
      <x:c r="F10" s="4" t="n">
        <x:v>95</x:v>
      </x:c>
      <x:c r="G10" s="4" t="n">
        <x:v>1016</x:v>
      </x:c>
      <x:c r="H10" t="inlineStr">
        <x:is>
          <x:t xml:space="preserve">moderate rain</x:t>
        </x:is>
      </x:c>
      <x:c r="I10" s="3" t="n">
        <x:v>26.5</x:v>
      </x:c>
    </x:row>
    <x:row r="11">
      <x:c r="A11" t="n">
        <x:v>10</x:v>
      </x:c>
      <x:c r="B11" s="2" t="n">
        <x:v>45763.58333333334</x:v>
      </x:c>
      <x:c r="C11" t="inlineStr">
        <x:is>
          <x:t xml:space="preserve">Lisbon</x:t>
        </x:is>
      </x:c>
      <x:c r="D11" s="3" t="n">
        <x:v>18.5</x:v>
      </x:c>
      <x:c r="E11" s="3" t="n">
        <x:v>18.3</x:v>
      </x:c>
      <x:c r="F11" s="4" t="n">
        <x:v>63</x:v>
      </x:c>
      <x:c r="G11" s="4" t="n">
        <x:v>1022</x:v>
      </x:c>
      <x:c r="H11" t="inlineStr">
        <x:is>
          <x:t xml:space="preserve">clear sky</x:t>
        </x:is>
      </x:c>
      <x:c r="I11" s="3" t="n">
        <x:v>17.6</x:v>
      </x:c>
    </x:row>
    <x:row r="12">
      <x:c r="A12" t="n">
        <x:v>11</x:v>
      </x:c>
      <x:c r="B12" s="2" t="n">
        <x:v>45764.40972222222</x:v>
      </x:c>
      <x:c r="C12" t="inlineStr">
        <x:is>
          <x:t xml:space="preserve">Lisbon</x:t>
        </x:is>
      </x:c>
      <x:c r="D12" s="3" t="n">
        <x:v>12.8</x:v>
      </x:c>
      <x:c r="E12" s="3" t="n">
        <x:v>12</x:v>
      </x:c>
      <x:c r="F12" s="4" t="n">
        <x:v>67</x:v>
      </x:c>
      <x:c r="G12" s="4" t="n">
        <x:v>1023</x:v>
      </x:c>
      <x:c r="H12" t="inlineStr">
        <x:is>
          <x:t xml:space="preserve">clear sky</x:t>
        </x:is>
      </x:c>
      <x:c r="I12" s="3" t="n">
        <x:v>16.1</x:v>
      </x:c>
    </x:row>
    <x:row r="13">
      <x:c r="A13" t="n">
        <x:v>12</x:v>
      </x:c>
      <x:c r="B13" s="2" t="n">
        <x:v>45765.43055555555</x:v>
      </x:c>
      <x:c r="C13" t="inlineStr">
        <x:is>
          <x:t xml:space="preserve">Lisbon</x:t>
        </x:is>
      </x:c>
      <x:c r="D13" s="3" t="n">
        <x:v>15.9</x:v>
      </x:c>
      <x:c r="E13" s="3" t="n">
        <x:v>15.9</x:v>
      </x:c>
      <x:c r="F13" s="4" t="n">
        <x:v>88</x:v>
      </x:c>
      <x:c r="G13" s="4" t="n">
        <x:v>1014</x:v>
      </x:c>
      <x:c r="H13" t="inlineStr">
        <x:is>
          <x:t xml:space="preserve">few clouds</x:t>
        </x:is>
      </x:c>
      <x:c r="I13" s="3" t="n">
        <x:v>17.1</x:v>
      </x:c>
    </x:row>
    <x:row r="14">
      <x:c r="A14" t="n">
        <x:v>13</x:v>
      </x:c>
      <x:c r="B14" s="2" t="n">
        <x:v>45766.65277777778</x:v>
      </x:c>
      <x:c r="C14" t="inlineStr">
        <x:is>
          <x:t xml:space="preserve">Lisbon</x:t>
        </x:is>
      </x:c>
      <x:c r="D14" s="3" t="n">
        <x:v>17</x:v>
      </x:c>
      <x:c r="E14" s="3" t="n">
        <x:v>16.2</x:v>
      </x:c>
      <x:c r="F14" s="4" t="n">
        <x:v>95</x:v>
      </x:c>
      <x:c r="G14" s="4" t="n">
        <x:v>1021</x:v>
      </x:c>
      <x:c r="H14" t="inlineStr">
        <x:is>
          <x:t xml:space="preserve">drizzle</x:t>
        </x:is>
      </x:c>
      <x:c r="I14" s="3" t="n">
        <x:v>21.3</x:v>
      </x:c>
    </x:row>
    <x:row r="15">
      <x:c r="A15" t="n">
        <x:v>14</x:v>
      </x:c>
      <x:c r="B15" s="2" t="n">
        <x:v>45767.53472222222</x:v>
      </x:c>
      <x:c r="C15" t="inlineStr">
        <x:is>
          <x:t xml:space="preserve">Lisbon</x:t>
        </x:is>
      </x:c>
      <x:c r="D15" s="3" t="n">
        <x:v>18.4</x:v>
      </x:c>
      <x:c r="E15" s="3" t="n">
        <x:v>18.7</x:v>
      </x:c>
      <x:c r="F15" s="4" t="n">
        <x:v>72</x:v>
      </x:c>
      <x:c r="G15" s="4" t="n">
        <x:v>1016</x:v>
      </x:c>
      <x:c r="H15" t="inlineStr">
        <x:is>
          <x:t xml:space="preserve">clear sky</x:t>
        </x:is>
      </x:c>
      <x:c r="I15" s="3" t="n">
        <x:v>26.7</x:v>
      </x:c>
    </x:row>
    <x:row r="16">
      <x:c r="A16" t="n">
        <x:v>15</x:v>
      </x:c>
      <x:c r="B16" s="2" t="n">
        <x:v>45768.67361111111</x:v>
      </x:c>
      <x:c r="C16" t="inlineStr">
        <x:is>
          <x:t xml:space="preserve">Lisbon</x:t>
        </x:is>
      </x:c>
      <x:c r="D16" s="3" t="n">
        <x:v>19.5</x:v>
      </x:c>
      <x:c r="E16" s="3" t="n">
        <x:v>20.5</x:v>
      </x:c>
      <x:c r="F16" s="4" t="n">
        <x:v>67</x:v>
      </x:c>
      <x:c r="G16" s="4" t="n">
        <x:v>1019</x:v>
      </x:c>
      <x:c r="H16" t="inlineStr">
        <x:is>
          <x:t xml:space="preserve">overcast clouds</x:t>
        </x:is>
      </x:c>
      <x:c r="I16" s="3" t="n">
        <x:v>19.6</x:v>
      </x:c>
    </x:row>
    <x:row r="17">
      <x:c r="A17" t="n">
        <x:v>16</x:v>
      </x:c>
      <x:c r="B17" s="2" t="n">
        <x:v>45769.61111111111</x:v>
      </x:c>
      <x:c r="C17" t="inlineStr">
        <x:is>
          <x:t xml:space="preserve">Lisbon</x:t>
        </x:is>
      </x:c>
      <x:c r="D17" s="3" t="n">
        <x:v>19.9</x:v>
      </x:c>
      <x:c r="E17" s="3" t="n">
        <x:v>18.9</x:v>
      </x:c>
      <x:c r="F17" s="4" t="n">
        <x:v>77</x:v>
      </x:c>
      <x:c r="G17" s="4" t="n">
        <x:v>1010</x:v>
      </x:c>
      <x:c r="H17" t="inlineStr">
        <x:is>
          <x:t xml:space="preserve">drizzle</x:t>
        </x:is>
      </x:c>
      <x:c r="I17" s="3" t="n">
        <x:v>17.6</x:v>
      </x:c>
    </x:row>
    <x:row r="18">
      <x:c r="A18" t="n">
        <x:v>17</x:v>
      </x:c>
      <x:c r="B18" s="2" t="n">
        <x:v>45770.88888888889</x:v>
      </x:c>
      <x:c r="C18" t="inlineStr">
        <x:is>
          <x:t xml:space="preserve">Lisbon</x:t>
        </x:is>
      </x:c>
      <x:c r="D18" s="3" t="n">
        <x:v>21.9</x:v>
      </x:c>
      <x:c r="E18" s="3" t="n">
        <x:v>21.3</x:v>
      </x:c>
      <x:c r="F18" s="4" t="n">
        <x:v>65</x:v>
      </x:c>
      <x:c r="G18" s="4" t="n">
        <x:v>1019</x:v>
      </x:c>
      <x:c r="H18" t="inlineStr">
        <x:is>
          <x:t xml:space="preserve">light rain</x:t>
        </x:is>
      </x:c>
      <x:c r="I18" s="3" t="n">
        <x:v>19.6</x:v>
      </x:c>
    </x:row>
    <x:row r="19">
      <x:c r="A19" t="n">
        <x:v>18</x:v>
      </x:c>
      <x:c r="B19" s="2" t="n">
        <x:v>45771.29166666666</x:v>
      </x:c>
      <x:c r="C19" t="inlineStr">
        <x:is>
          <x:t xml:space="preserve">Lisbon</x:t>
        </x:is>
      </x:c>
      <x:c r="D19" s="3" t="n">
        <x:v>16</x:v>
      </x:c>
      <x:c r="E19" s="3" t="n">
        <x:v>17.2</x:v>
      </x:c>
      <x:c r="F19" s="4" t="n">
        <x:v>67</x:v>
      </x:c>
      <x:c r="G19" s="4" t="n">
        <x:v>1020</x:v>
      </x:c>
      <x:c r="H19" t="inlineStr">
        <x:is>
          <x:t xml:space="preserve">clear sky</x:t>
        </x:is>
      </x:c>
      <x:c r="I19" s="3" t="n">
        <x:v>20.7</x:v>
      </x:c>
    </x:row>
    <x:row r="20">
      <x:c r="A20" t="n">
        <x:v>19</x:v>
      </x:c>
      <x:c r="B20" s="2" t="n">
        <x:v>45772.80555555555</x:v>
      </x:c>
      <x:c r="C20" t="inlineStr">
        <x:is>
          <x:t xml:space="preserve">Lisbon</x:t>
        </x:is>
      </x:c>
      <x:c r="D20" s="3" t="n">
        <x:v>18.8</x:v>
      </x:c>
      <x:c r="E20" s="3" t="n">
        <x:v>18.4</x:v>
      </x:c>
      <x:c r="F20" s="4" t="n">
        <x:v>67</x:v>
      </x:c>
      <x:c r="G20" s="4" t="n">
        <x:v>1015</x:v>
      </x:c>
      <x:c r="H20" t="inlineStr">
        <x:is>
          <x:t xml:space="preserve">overcast clouds</x:t>
        </x:is>
      </x:c>
      <x:c r="I20" s="3" t="n">
        <x:v>14.5</x:v>
      </x:c>
    </x:row>
    <x:row r="21">
      <x:c r="A21" t="n">
        <x:v>20</x:v>
      </x:c>
      <x:c r="B21" s="2" t="n">
        <x:v>45773.29166666666</x:v>
      </x:c>
      <x:c r="C21" t="inlineStr">
        <x:is>
          <x:t xml:space="preserve">Lisbon</x:t>
        </x:is>
      </x:c>
      <x:c r="D21" s="3" t="n">
        <x:v>13.9</x:v>
      </x:c>
      <x:c r="E21" s="3" t="n">
        <x:v>14.8</x:v>
      </x:c>
      <x:c r="F21" s="4" t="n">
        <x:v>69</x:v>
      </x:c>
      <x:c r="G21" s="4" t="n">
        <x:v>1020</x:v>
      </x:c>
      <x:c r="H21" t="inlineStr">
        <x:is>
          <x:t xml:space="preserve">clear sky</x:t>
        </x:is>
      </x:c>
      <x:c r="I21" s="3" t="n">
        <x:v>16.3</x:v>
      </x:c>
    </x:row>
    <x:row r="22">
      <x:c r="A22" t="n">
        <x:v>21</x:v>
      </x:c>
      <x:c r="B22" s="2" t="n">
        <x:v>45774.67361111111</x:v>
      </x:c>
      <x:c r="C22" t="inlineStr">
        <x:is>
          <x:t xml:space="preserve">Lisbon</x:t>
        </x:is>
      </x:c>
      <x:c r="D22" s="3" t="n">
        <x:v>20</x:v>
      </x:c>
      <x:c r="E22" s="3" t="n">
        <x:v>21</x:v>
      </x:c>
      <x:c r="F22" s="4" t="n">
        <x:v>77</x:v>
      </x:c>
      <x:c r="G22" s="4" t="n">
        <x:v>1016</x:v>
      </x:c>
      <x:c r="H22" t="inlineStr">
        <x:is>
          <x:t xml:space="preserve">overcast clouds</x:t>
        </x:is>
      </x:c>
      <x:c r="I22" s="3" t="n">
        <x:v>17</x:v>
      </x:c>
    </x:row>
    <x:row r="23">
      <x:c r="A23" t="n">
        <x:v>22</x:v>
      </x:c>
      <x:c r="B23" s="2" t="n">
        <x:v>45775.59027777778</x:v>
      </x:c>
      <x:c r="C23" t="inlineStr">
        <x:is>
          <x:t xml:space="preserve">Lisbon</x:t>
        </x:is>
      </x:c>
      <x:c r="D23" s="3" t="n">
        <x:v>15.9</x:v>
      </x:c>
      <x:c r="E23" s="3" t="n">
        <x:v>14.9</x:v>
      </x:c>
      <x:c r="F23" s="4" t="n">
        <x:v>71</x:v>
      </x:c>
      <x:c r="G23" s="4" t="n">
        <x:v>1019</x:v>
      </x:c>
      <x:c r="H23" t="inlineStr">
        <x:is>
          <x:t xml:space="preserve">overcast clouds</x:t>
        </x:is>
      </x:c>
      <x:c r="I23" s="3" t="n">
        <x:v>23.3</x:v>
      </x:c>
    </x:row>
    <x:row r="24">
      <x:c r="A24" t="n">
        <x:v>23</x:v>
      </x:c>
      <x:c r="B24" s="2" t="n">
        <x:v>45776.86111111111</x:v>
      </x:c>
      <x:c r="C24" t="inlineStr">
        <x:is>
          <x:t xml:space="preserve">Lisbon</x:t>
        </x:is>
      </x:c>
      <x:c r="D24" s="3" t="n">
        <x:v>18.7</x:v>
      </x:c>
      <x:c r="E24" s="3" t="n">
        <x:v>18.5</x:v>
      </x:c>
      <x:c r="F24" s="4" t="n">
        <x:v>69</x:v>
      </x:c>
      <x:c r="G24" s="4" t="n">
        <x:v>1011</x:v>
      </x:c>
      <x:c r="H24" t="inlineStr">
        <x:is>
          <x:t xml:space="preserve">clear sky</x:t>
        </x:is>
      </x:c>
      <x:c r="I24" s="3" t="n">
        <x:v>16.7</x:v>
      </x:c>
    </x:row>
    <x:row r="25">
      <x:c r="A25" t="n">
        <x:v>24</x:v>
      </x:c>
      <x:c r="B25" s="2" t="n">
        <x:v>45777.81944444445</x:v>
      </x:c>
      <x:c r="C25" t="inlineStr">
        <x:is>
          <x:t xml:space="preserve">Lisbon</x:t>
        </x:is>
      </x:c>
      <x:c r="D25" s="3" t="n">
        <x:v>18.5</x:v>
      </x:c>
      <x:c r="E25" s="3" t="n">
        <x:v>18.3</x:v>
      </x:c>
      <x:c r="F25" s="4" t="n">
        <x:v>86</x:v>
      </x:c>
      <x:c r="G25" s="4" t="n">
        <x:v>1017</x:v>
      </x:c>
      <x:c r="H25" t="inlineStr">
        <x:is>
          <x:t xml:space="preserve">scattered clouds</x:t>
        </x:is>
      </x:c>
      <x:c r="I25" s="3" t="n">
        <x:v>17.3</x:v>
      </x:c>
    </x:row>
    <x:row r="26">
      <x:c r="A26" t="n">
        <x:v>25</x:v>
      </x:c>
      <x:c r="B26" s="2" t="n">
        <x:v>45778.25</x:v>
      </x:c>
      <x:c r="C26" t="inlineStr">
        <x:is>
          <x:t xml:space="preserve">Lisbon</x:t>
        </x:is>
      </x:c>
      <x:c r="D26" s="3" t="n">
        <x:v>15.4</x:v>
      </x:c>
      <x:c r="E26" s="3" t="n">
        <x:v>16.6</x:v>
      </x:c>
      <x:c r="F26" s="4" t="n">
        <x:v>76</x:v>
      </x:c>
      <x:c r="G26" s="4" t="n">
        <x:v>1021</x:v>
      </x:c>
      <x:c r="H26" t="inlineStr">
        <x:is>
          <x:t xml:space="preserve">clear sky</x:t>
        </x:is>
      </x:c>
      <x:c r="I26" s="3" t="n">
        <x:v>18.5</x:v>
      </x:c>
    </x:row>
    <x:row r="27">
      <x:c r="A27" t="n">
        <x:v>26</x:v>
      </x:c>
      <x:c r="B27" s="2" t="n">
        <x:v>45779.36805555555</x:v>
      </x:c>
      <x:c r="C27" t="inlineStr">
        <x:is>
          <x:t xml:space="preserve">Lisbon</x:t>
        </x:is>
      </x:c>
      <x:c r="D27" s="3" t="n">
        <x:v>17.7</x:v>
      </x:c>
      <x:c r="E27" s="3" t="n">
        <x:v>17.6</x:v>
      </x:c>
      <x:c r="F27" s="4" t="n">
        <x:v>58</x:v>
      </x:c>
      <x:c r="G27" s="4" t="n">
        <x:v>1024</x:v>
      </x:c>
      <x:c r="H27" t="inlineStr">
        <x:is>
          <x:t xml:space="preserve">overcast clouds</x:t>
        </x:is>
      </x:c>
      <x:c r="I27" s="3" t="n">
        <x:v>23</x:v>
      </x:c>
    </x:row>
    <x:row r="28">
      <x:c r="A28" t="n">
        <x:v>27</x:v>
      </x:c>
      <x:c r="B28" s="2" t="n">
        <x:v>45780.44444444445</x:v>
      </x:c>
      <x:c r="C28" t="inlineStr">
        <x:is>
          <x:t xml:space="preserve">Lisbon</x:t>
        </x:is>
      </x:c>
      <x:c r="D28" s="3" t="n">
        <x:v>16.2</x:v>
      </x:c>
      <x:c r="E28" s="3" t="n">
        <x:v>16.1</x:v>
      </x:c>
      <x:c r="F28" s="4" t="n">
        <x:v>79</x:v>
      </x:c>
      <x:c r="G28" s="4" t="n">
        <x:v>1023</x:v>
      </x:c>
      <x:c r="H28" t="inlineStr">
        <x:is>
          <x:t xml:space="preserve">clear sky</x:t>
        </x:is>
      </x:c>
      <x:c r="I28" s="3" t="n">
        <x:v>17.5</x:v>
      </x:c>
    </x:row>
    <x:row r="29">
      <x:c r="A29" t="n">
        <x:v>28</x:v>
      </x:c>
      <x:c r="B29" s="2" t="n">
        <x:v>45781.30555555555</x:v>
      </x:c>
      <x:c r="C29" t="inlineStr">
        <x:is>
          <x:t xml:space="preserve">Lisbon</x:t>
        </x:is>
      </x:c>
      <x:c r="D29" s="3" t="n">
        <x:v>11.8</x:v>
      </x:c>
      <x:c r="E29" s="3" t="n">
        <x:v>13</x:v>
      </x:c>
      <x:c r="F29" s="4" t="n">
        <x:v>81</x:v>
      </x:c>
      <x:c r="G29" s="4" t="n">
        <x:v>1023</x:v>
      </x:c>
      <x:c r="H29" t="inlineStr">
        <x:is>
          <x:t xml:space="preserve">clear sky</x:t>
        </x:is>
      </x:c>
      <x:c r="I29" s="3" t="n">
        <x:v>17.1</x:v>
      </x:c>
    </x:row>
    <x:row r="30">
      <x:c r="A30" t="n">
        <x:v>29</x:v>
      </x:c>
      <x:c r="B30" s="2" t="n">
        <x:v>45782.4375</x:v>
      </x:c>
      <x:c r="C30" t="inlineStr">
        <x:is>
          <x:t xml:space="preserve">Lisbon</x:t>
        </x:is>
      </x:c>
      <x:c r="D30" s="3" t="n">
        <x:v>14.1</x:v>
      </x:c>
      <x:c r="E30" s="3" t="n">
        <x:v>13.3</x:v>
      </x:c>
      <x:c r="F30" s="4" t="n">
        <x:v>65</x:v>
      </x:c>
      <x:c r="G30" s="4" t="n">
        <x:v>1019</x:v>
      </x:c>
      <x:c r="H30" t="inlineStr">
        <x:is>
          <x:t xml:space="preserve">clear sky</x:t>
        </x:is>
      </x:c>
      <x:c r="I30" s="3" t="n">
        <x:v>15.6</x:v>
      </x:c>
    </x:row>
    <x:row r="31">
      <x:c r="A31" t="n">
        <x:v>30</x:v>
      </x:c>
      <x:c r="B31" s="2" t="n">
        <x:v>45783.41666666666</x:v>
      </x:c>
      <x:c r="C31" t="inlineStr">
        <x:is>
          <x:t xml:space="preserve">Lisbon</x:t>
        </x:is>
      </x:c>
      <x:c r="D31" s="3" t="n">
        <x:v>16.7</x:v>
      </x:c>
      <x:c r="E31" s="3" t="n">
        <x:v>17.7</x:v>
      </x:c>
      <x:c r="F31" s="4" t="n">
        <x:v>70</x:v>
      </x:c>
      <x:c r="G31" s="4" t="n">
        <x:v>1019</x:v>
      </x:c>
      <x:c r="H31" t="inlineStr">
        <x:is>
          <x:t xml:space="preserve">clear sky</x:t>
        </x:is>
      </x:c>
      <x:c r="I31" s="3" t="n">
        <x:v>20.5</x:v>
      </x:c>
    </x:row>
    <x:row r="32">
      <x:c r="A32" t="n">
        <x:v>31</x:v>
      </x:c>
      <x:c r="B32" s="2" t="n">
        <x:v>45784.63888888889</x:v>
      </x:c>
      <x:c r="C32" t="inlineStr">
        <x:is>
          <x:t xml:space="preserve">Lisbon</x:t>
        </x:is>
      </x:c>
      <x:c r="D32" s="3" t="n">
        <x:v>19.1</x:v>
      </x:c>
      <x:c r="E32" s="3" t="n">
        <x:v>19.2</x:v>
      </x:c>
      <x:c r="F32" s="4" t="n">
        <x:v>84</x:v>
      </x:c>
      <x:c r="G32" s="4" t="n">
        <x:v>1014</x:v>
      </x:c>
      <x:c r="H32" t="inlineStr">
        <x:is>
          <x:t xml:space="preserve">few clouds</x:t>
        </x:is>
      </x:c>
      <x:c r="I32" s="3" t="n">
        <x:v>17.2</x:v>
      </x:c>
    </x:row>
    <x:row r="33">
      <x:c r="A33" t="n">
        <x:v>32</x:v>
      </x:c>
      <x:c r="B33" s="2" t="n">
        <x:v>45785.30555555555</x:v>
      </x:c>
      <x:c r="C33" t="inlineStr">
        <x:is>
          <x:t xml:space="preserve">Lisbon</x:t>
        </x:is>
      </x:c>
      <x:c r="D33" s="3" t="n">
        <x:v>17</x:v>
      </x:c>
      <x:c r="E33" s="3" t="n">
        <x:v>17.4</x:v>
      </x:c>
      <x:c r="F33" s="4" t="n">
        <x:v>72</x:v>
      </x:c>
      <x:c r="G33" s="4" t="n">
        <x:v>1016</x:v>
      </x:c>
      <x:c r="H33" t="inlineStr">
        <x:is>
          <x:t xml:space="preserve">few clouds</x:t>
        </x:is>
      </x:c>
      <x:c r="I33" s="3" t="n">
        <x:v>17.2</x:v>
      </x:c>
    </x:row>
    <x:row r="34">
      <x:c r="A34" t="n">
        <x:v>33</x:v>
      </x:c>
      <x:c r="B34" s="2" t="n">
        <x:v>45786.53472222222</x:v>
      </x:c>
      <x:c r="C34" t="inlineStr">
        <x:is>
          <x:t xml:space="preserve">Lisbon</x:t>
        </x:is>
      </x:c>
      <x:c r="D34" s="3" t="n">
        <x:v>16.8</x:v>
      </x:c>
      <x:c r="E34" s="3" t="n">
        <x:v>18</x:v>
      </x:c>
      <x:c r="F34" s="4" t="n">
        <x:v>80</x:v>
      </x:c>
      <x:c r="G34" s="4" t="n">
        <x:v>1017</x:v>
      </x:c>
      <x:c r="H34" t="inlineStr">
        <x:is>
          <x:t xml:space="preserve">few clouds</x:t>
        </x:is>
      </x:c>
      <x:c r="I34" s="3" t="n">
        <x:v>15.6</x:v>
      </x:c>
    </x:row>
    <x:row r="35">
      <x:c r="A35" t="n">
        <x:v>34</x:v>
      </x:c>
      <x:c r="B35" s="2" t="n">
        <x:v>45787.57638888889</x:v>
      </x:c>
      <x:c r="C35" t="inlineStr">
        <x:is>
          <x:t xml:space="preserve">Lisbon</x:t>
        </x:is>
      </x:c>
      <x:c r="D35" s="3" t="n">
        <x:v>18.6</x:v>
      </x:c>
      <x:c r="E35" s="3" t="n">
        <x:v>18.3</x:v>
      </x:c>
      <x:c r="F35" s="4" t="n">
        <x:v>66</x:v>
      </x:c>
      <x:c r="G35" s="4" t="n">
        <x:v>1020</x:v>
      </x:c>
      <x:c r="H35" t="inlineStr">
        <x:is>
          <x:t xml:space="preserve">clear sky</x:t>
        </x:is>
      </x:c>
      <x:c r="I35" s="3" t="n">
        <x:v>17.5</x:v>
      </x:c>
    </x:row>
    <x:row r="36">
      <x:c r="A36" t="n">
        <x:v>35</x:v>
      </x:c>
      <x:c r="B36" s="2" t="n">
        <x:v>45788.38888888889</x:v>
      </x:c>
      <x:c r="C36" t="inlineStr">
        <x:is>
          <x:t xml:space="preserve">Lisbon</x:t>
        </x:is>
      </x:c>
      <x:c r="D36" s="3" t="n">
        <x:v>18</x:v>
      </x:c>
      <x:c r="E36" s="3" t="n">
        <x:v>18.7</x:v>
      </x:c>
      <x:c r="F36" s="4" t="n">
        <x:v>80</x:v>
      </x:c>
      <x:c r="G36" s="4" t="n">
        <x:v>1015</x:v>
      </x:c>
      <x:c r="H36" t="inlineStr">
        <x:is>
          <x:t xml:space="preserve">clear sky</x:t>
        </x:is>
      </x:c>
      <x:c r="I36" s="3" t="n">
        <x:v>19.8</x:v>
      </x:c>
    </x:row>
    <x:row r="37">
      <x:c r="A37" t="n">
        <x:v>36</x:v>
      </x:c>
      <x:c r="B37" s="2" t="n">
        <x:v>45789.81944444445</x:v>
      </x:c>
      <x:c r="C37" t="inlineStr">
        <x:is>
          <x:t xml:space="preserve">Lisbon</x:t>
        </x:is>
      </x:c>
      <x:c r="D37" s="3" t="n">
        <x:v>20</x:v>
      </x:c>
      <x:c r="E37" s="3" t="n">
        <x:v>19.3</x:v>
      </x:c>
      <x:c r="F37" s="4" t="n">
        <x:v>91</x:v>
      </x:c>
      <x:c r="G37" s="4" t="n">
        <x:v>1017</x:v>
      </x:c>
      <x:c r="H37" t="inlineStr">
        <x:is>
          <x:t xml:space="preserve">light rain</x:t>
        </x:is>
      </x:c>
      <x:c r="I37" s="3" t="n">
        <x:v>15.2</x:v>
      </x:c>
    </x:row>
    <x:row r="38">
      <x:c r="A38" t="n">
        <x:v>37</x:v>
      </x:c>
      <x:c r="B38" s="2" t="n">
        <x:v>45790.42361111111</x:v>
      </x:c>
      <x:c r="C38" t="inlineStr">
        <x:is>
          <x:t xml:space="preserve">Lisbon</x:t>
        </x:is>
      </x:c>
      <x:c r="D38" s="3" t="n">
        <x:v>15.2</x:v>
      </x:c>
      <x:c r="E38" s="3" t="n">
        <x:v>16.2</x:v>
      </x:c>
      <x:c r="F38" s="4" t="n">
        <x:v>84</x:v>
      </x:c>
      <x:c r="G38" s="4" t="n">
        <x:v>1019</x:v>
      </x:c>
      <x:c r="H38" t="inlineStr">
        <x:is>
          <x:t xml:space="preserve">overcast clouds</x:t>
        </x:is>
      </x:c>
      <x:c r="I38" s="3" t="n">
        <x:v>19</x:v>
      </x:c>
    </x:row>
    <x:row r="39">
      <x:c r="A39" t="n">
        <x:v>38</x:v>
      </x:c>
      <x:c r="B39" s="2" t="n">
        <x:v>45791.46527777778</x:v>
      </x:c>
      <x:c r="C39" t="inlineStr">
        <x:is>
          <x:t xml:space="preserve">Lisbon</x:t>
        </x:is>
      </x:c>
      <x:c r="D39" s="3" t="n">
        <x:v>19.4</x:v>
      </x:c>
      <x:c r="E39" s="3" t="n">
        <x:v>18.5</x:v>
      </x:c>
      <x:c r="F39" s="4" t="n">
        <x:v>77</x:v>
      </x:c>
      <x:c r="G39" s="4" t="n">
        <x:v>1017</x:v>
      </x:c>
      <x:c r="H39" t="inlineStr">
        <x:is>
          <x:t xml:space="preserve">scattered clouds</x:t>
        </x:is>
      </x:c>
      <x:c r="I39" s="3" t="n">
        <x:v>14.9</x:v>
      </x:c>
    </x:row>
    <x:row r="40">
      <x:c r="A40" t="n">
        <x:v>39</x:v>
      </x:c>
      <x:c r="B40" s="2" t="n">
        <x:v>45792.79166666666</x:v>
      </x:c>
      <x:c r="C40" t="inlineStr">
        <x:is>
          <x:t xml:space="preserve">Lisbon</x:t>
        </x:is>
      </x:c>
      <x:c r="D40" s="3" t="n">
        <x:v>22.6</x:v>
      </x:c>
      <x:c r="E40" s="3" t="n">
        <x:v>23</x:v>
      </x:c>
      <x:c r="F40" s="4" t="n">
        <x:v>66</x:v>
      </x:c>
      <x:c r="G40" s="4" t="n">
        <x:v>1013</x:v>
      </x:c>
      <x:c r="H40" t="inlineStr">
        <x:is>
          <x:t xml:space="preserve">clear sky</x:t>
        </x:is>
      </x:c>
      <x:c r="I40" s="3" t="n">
        <x:v>17.4</x:v>
      </x:c>
    </x:row>
    <x:row r="41">
      <x:c r="A41" t="n">
        <x:v>40</x:v>
      </x:c>
      <x:c r="B41" s="2" t="n">
        <x:v>45793.49305555555</x:v>
      </x:c>
      <x:c r="C41" t="inlineStr">
        <x:is>
          <x:t xml:space="preserve">Lisbon</x:t>
        </x:is>
      </x:c>
      <x:c r="D41" s="3" t="n">
        <x:v>17.6</x:v>
      </x:c>
      <x:c r="E41" s="3" t="n">
        <x:v>16.5</x:v>
      </x:c>
      <x:c r="F41" s="4" t="n">
        <x:v>74</x:v>
      </x:c>
      <x:c r="G41" s="4" t="n">
        <x:v>1013</x:v>
      </x:c>
      <x:c r="H41" t="inlineStr">
        <x:is>
          <x:t xml:space="preserve">few clouds</x:t>
        </x:is>
      </x:c>
      <x:c r="I41" s="3" t="n">
        <x:v>18.1</x:v>
      </x:c>
    </x:row>
    <x:row r="42">
      <x:c r="A42" t="n">
        <x:v>41</x:v>
      </x:c>
      <x:c r="B42" s="2" t="n">
        <x:v>45794.6875</x:v>
      </x:c>
      <x:c r="C42" t="inlineStr">
        <x:is>
          <x:t xml:space="preserve">Lisbon</x:t>
        </x:is>
      </x:c>
      <x:c r="D42" s="3" t="n">
        <x:v>17.9</x:v>
      </x:c>
      <x:c r="E42" s="3" t="n">
        <x:v>18.3</x:v>
      </x:c>
      <x:c r="F42" s="4" t="n">
        <x:v>85</x:v>
      </x:c>
      <x:c r="G42" s="4" t="n">
        <x:v>1017</x:v>
      </x:c>
      <x:c r="H42" t="inlineStr">
        <x:is>
          <x:t xml:space="preserve">broken clouds</x:t>
        </x:is>
      </x:c>
      <x:c r="I42" s="3" t="n">
        <x:v>13.9</x:v>
      </x:c>
    </x:row>
    <x:row r="43">
      <x:c r="A43" t="n">
        <x:v>42</x:v>
      </x:c>
      <x:c r="B43" s="2" t="n">
        <x:v>45795.55555555555</x:v>
      </x:c>
      <x:c r="C43" t="inlineStr">
        <x:is>
          <x:t xml:space="preserve">Lisbon</x:t>
        </x:is>
      </x:c>
      <x:c r="D43" s="3" t="n">
        <x:v>17.8</x:v>
      </x:c>
      <x:c r="E43" s="3" t="n">
        <x:v>17.2</x:v>
      </x:c>
      <x:c r="F43" s="4" t="n">
        <x:v>58</x:v>
      </x:c>
      <x:c r="G43" s="4" t="n">
        <x:v>1011</x:v>
      </x:c>
      <x:c r="H43" t="inlineStr">
        <x:is>
          <x:t xml:space="preserve">clear sky</x:t>
        </x:is>
      </x:c>
      <x:c r="I43" s="3" t="n">
        <x:v>19.6</x:v>
      </x:c>
    </x:row>
    <x:row r="44">
      <x:c r="A44" t="n">
        <x:v>43</x:v>
      </x:c>
      <x:c r="B44" s="2" t="n">
        <x:v>45796.49305555555</x:v>
      </x:c>
      <x:c r="C44" t="inlineStr">
        <x:is>
          <x:t xml:space="preserve">Lisbon</x:t>
        </x:is>
      </x:c>
      <x:c r="D44" s="3" t="n">
        <x:v>18.2</x:v>
      </x:c>
      <x:c r="E44" s="3" t="n">
        <x:v>18.8</x:v>
      </x:c>
      <x:c r="F44" s="4" t="n">
        <x:v>93</x:v>
      </x:c>
      <x:c r="G44" s="4" t="n">
        <x:v>1016</x:v>
      </x:c>
      <x:c r="H44" t="inlineStr">
        <x:is>
          <x:t xml:space="preserve">drizzle</x:t>
        </x:is>
      </x:c>
      <x:c r="I44" s="3" t="n">
        <x:v>18.1</x:v>
      </x:c>
    </x:row>
    <x:row r="45">
      <x:c r="A45" t="n">
        <x:v>44</x:v>
      </x:c>
      <x:c r="B45" s="2" t="n">
        <x:v>45797.39583333334</x:v>
      </x:c>
      <x:c r="C45" t="inlineStr">
        <x:is>
          <x:t xml:space="preserve">Lisbon</x:t>
        </x:is>
      </x:c>
      <x:c r="D45" s="3" t="n">
        <x:v>16.1</x:v>
      </x:c>
      <x:c r="E45" s="3" t="n">
        <x:v>16.9</x:v>
      </x:c>
      <x:c r="F45" s="4" t="n">
        <x:v>86</x:v>
      </x:c>
      <x:c r="G45" s="4" t="n">
        <x:v>1012</x:v>
      </x:c>
      <x:c r="H45" t="inlineStr">
        <x:is>
          <x:t xml:space="preserve">moderate rain</x:t>
        </x:is>
      </x:c>
      <x:c r="I45" s="3" t="n">
        <x:v>25.2</x:v>
      </x:c>
    </x:row>
    <x:row r="46">
      <x:c r="A46" t="n">
        <x:v>45</x:v>
      </x:c>
      <x:c r="B46" s="2" t="n">
        <x:v>45798.3125</x:v>
      </x:c>
      <x:c r="C46" t="inlineStr">
        <x:is>
          <x:t xml:space="preserve">Lisbon</x:t>
        </x:is>
      </x:c>
      <x:c r="D46" s="3" t="n">
        <x:v>17.9</x:v>
      </x:c>
      <x:c r="E46" s="3" t="n">
        <x:v>16.8</x:v>
      </x:c>
      <x:c r="F46" s="4" t="n">
        <x:v>68</x:v>
      </x:c>
      <x:c r="G46" s="4" t="n">
        <x:v>1014</x:v>
      </x:c>
      <x:c r="H46" t="inlineStr">
        <x:is>
          <x:t xml:space="preserve">scattered clouds</x:t>
        </x:is>
      </x:c>
      <x:c r="I46" s="3" t="n">
        <x:v>17.3</x:v>
      </x:c>
    </x:row>
    <x:row r="47">
      <x:c r="A47" t="n">
        <x:v>46</x:v>
      </x:c>
      <x:c r="B47" s="2" t="n">
        <x:v>45799.54861111111</x:v>
      </x:c>
      <x:c r="C47" t="inlineStr">
        <x:is>
          <x:t xml:space="preserve">Lisbon</x:t>
        </x:is>
      </x:c>
      <x:c r="D47" s="3" t="n">
        <x:v>19.2</x:v>
      </x:c>
      <x:c r="E47" s="3" t="n">
        <x:v>20.1</x:v>
      </x:c>
      <x:c r="F47" s="4" t="n">
        <x:v>59</x:v>
      </x:c>
      <x:c r="G47" s="4" t="n">
        <x:v>1010</x:v>
      </x:c>
      <x:c r="H47" t="inlineStr">
        <x:is>
          <x:t xml:space="preserve">clear sky</x:t>
        </x:is>
      </x:c>
      <x:c r="I47" s="3" t="n">
        <x:v>15.4</x:v>
      </x:c>
    </x:row>
    <x:row r="48">
      <x:c r="A48" t="n">
        <x:v>47</x:v>
      </x:c>
      <x:c r="B48" s="2" t="n">
        <x:v>45800.84722222222</x:v>
      </x:c>
      <x:c r="C48" t="inlineStr">
        <x:is>
          <x:t xml:space="preserve">Lisbon</x:t>
        </x:is>
      </x:c>
      <x:c r="D48" s="3" t="n">
        <x:v>22.1</x:v>
      </x:c>
      <x:c r="E48" s="3" t="n">
        <x:v>22</x:v>
      </x:c>
      <x:c r="F48" s="4" t="n">
        <x:v>75</x:v>
      </x:c>
      <x:c r="G48" s="4" t="n">
        <x:v>1019</x:v>
      </x:c>
      <x:c r="H48" t="inlineStr">
        <x:is>
          <x:t xml:space="preserve">clear sky</x:t>
        </x:is>
      </x:c>
      <x:c r="I48" s="3" t="n">
        <x:v>13.5</x:v>
      </x:c>
    </x:row>
    <x:row r="49">
      <x:c r="A49" t="n">
        <x:v>48</x:v>
      </x:c>
      <x:c r="B49" s="2" t="n">
        <x:v>45801.63194444445</x:v>
      </x:c>
      <x:c r="C49" t="inlineStr">
        <x:is>
          <x:t xml:space="preserve">Lisbon</x:t>
        </x:is>
      </x:c>
      <x:c r="D49" s="3" t="n">
        <x:v>20.1</x:v>
      </x:c>
      <x:c r="E49" s="3" t="n">
        <x:v>21.2</x:v>
      </x:c>
      <x:c r="F49" s="4" t="n">
        <x:v>78</x:v>
      </x:c>
      <x:c r="G49" s="4" t="n">
        <x:v>1014</x:v>
      </x:c>
      <x:c r="H49" t="inlineStr">
        <x:is>
          <x:t xml:space="preserve">moderate rain</x:t>
        </x:is>
      </x:c>
      <x:c r="I49" s="3" t="n">
        <x:v>22.2</x:v>
      </x:c>
    </x:row>
    <x:row r="50">
      <x:c r="A50" t="n">
        <x:v>49</x:v>
      </x:c>
      <x:c r="B50" s="2" t="n">
        <x:v>45802.54166666666</x:v>
      </x:c>
      <x:c r="C50" t="inlineStr">
        <x:is>
          <x:t xml:space="preserve">Lisbon</x:t>
        </x:is>
      </x:c>
      <x:c r="D50" s="3" t="n">
        <x:v>19.1</x:v>
      </x:c>
      <x:c r="E50" s="3" t="n">
        <x:v>18.2</x:v>
      </x:c>
      <x:c r="F50" s="4" t="n">
        <x:v>59</x:v>
      </x:c>
      <x:c r="G50" s="4" t="n">
        <x:v>1008</x:v>
      </x:c>
      <x:c r="H50" t="inlineStr">
        <x:is>
          <x:t xml:space="preserve">clear sky</x:t>
        </x:is>
      </x:c>
      <x:c r="I50" s="3" t="n">
        <x:v>22.3</x:v>
      </x:c>
    </x:row>
    <x:row r="51">
      <x:c r="A51" t="n">
        <x:v>50</x:v>
      </x:c>
      <x:c r="B51" s="2" t="n">
        <x:v>45803.52083333334</x:v>
      </x:c>
      <x:c r="C51" t="inlineStr">
        <x:is>
          <x:t xml:space="preserve">Lisbon</x:t>
        </x:is>
      </x:c>
      <x:c r="D51" s="3" t="n">
        <x:v>20.3</x:v>
      </x:c>
      <x:c r="E51" s="3" t="n">
        <x:v>20.7</x:v>
      </x:c>
      <x:c r="F51" s="4" t="n">
        <x:v>59</x:v>
      </x:c>
      <x:c r="G51" s="4" t="n">
        <x:v>1014</x:v>
      </x:c>
      <x:c r="H51" t="inlineStr">
        <x:is>
          <x:t xml:space="preserve">clear sky</x:t>
        </x:is>
      </x:c>
      <x:c r="I51" s="3" t="n">
        <x:v>16.8</x:v>
      </x:c>
    </x:row>
    <x:row r="52">
      <x:c r="A52" t="n">
        <x:v>51</x:v>
      </x:c>
      <x:c r="B52" s="2" t="n">
        <x:v>45804.68055555555</x:v>
      </x:c>
      <x:c r="C52" t="inlineStr">
        <x:is>
          <x:t xml:space="preserve">Lisbon</x:t>
        </x:is>
      </x:c>
      <x:c r="D52" s="3" t="n">
        <x:v>19.3</x:v>
      </x:c>
      <x:c r="E52" s="3" t="n">
        <x:v>20.1</x:v>
      </x:c>
      <x:c r="F52" s="4" t="n">
        <x:v>78</x:v>
      </x:c>
      <x:c r="G52" s="4" t="n">
        <x:v>1018</x:v>
      </x:c>
      <x:c r="H52" t="inlineStr">
        <x:is>
          <x:t xml:space="preserve">few clouds</x:t>
        </x:is>
      </x:c>
      <x:c r="I52" s="3" t="n">
        <x:v>18.9</x:v>
      </x:c>
    </x:row>
    <x:row r="53">
      <x:c r="A53" t="n">
        <x:v>52</x:v>
      </x:c>
      <x:c r="B53" s="2" t="n">
        <x:v>45805.34722222222</x:v>
      </x:c>
      <x:c r="C53" t="inlineStr">
        <x:is>
          <x:t xml:space="preserve">Lisbon</x:t>
        </x:is>
      </x:c>
      <x:c r="D53" s="3" t="n">
        <x:v>17.1</x:v>
      </x:c>
      <x:c r="E53" s="3" t="n">
        <x:v>17</x:v>
      </x:c>
      <x:c r="F53" s="4" t="n">
        <x:v>76</x:v>
      </x:c>
      <x:c r="G53" s="4" t="n">
        <x:v>1017</x:v>
      </x:c>
      <x:c r="H53" t="inlineStr">
        <x:is>
          <x:t xml:space="preserve">scattered clouds</x:t>
        </x:is>
      </x:c>
      <x:c r="I53" s="3" t="n">
        <x:v>19.4</x:v>
      </x:c>
    </x:row>
    <x:row r="54">
      <x:c r="A54" t="n">
        <x:v>53</x:v>
      </x:c>
      <x:c r="B54" s="2" t="n">
        <x:v>45806.74305555555</x:v>
      </x:c>
      <x:c r="C54" t="inlineStr">
        <x:is>
          <x:t xml:space="preserve">Lisbon</x:t>
        </x:is>
      </x:c>
      <x:c r="D54" s="3" t="n">
        <x:v>21.1</x:v>
      </x:c>
      <x:c r="E54" s="3" t="n">
        <x:v>21.5</x:v>
      </x:c>
      <x:c r="F54" s="4" t="n">
        <x:v>54</x:v>
      </x:c>
      <x:c r="G54" s="4" t="n">
        <x:v>1019</x:v>
      </x:c>
      <x:c r="H54" t="inlineStr">
        <x:is>
          <x:t xml:space="preserve">clear sky</x:t>
        </x:is>
      </x:c>
      <x:c r="I54" s="3" t="n">
        <x:v>25</x:v>
      </x:c>
    </x:row>
    <x:row r="55">
      <x:c r="A55" t="n">
        <x:v>54</x:v>
      </x:c>
      <x:c r="B55" s="2" t="n">
        <x:v>45808.78472222222</x:v>
      </x:c>
      <x:c r="C55" t="inlineStr">
        <x:is>
          <x:t xml:space="preserve">Lisbon</x:t>
        </x:is>
      </x:c>
      <x:c r="D55" s="3" t="n">
        <x:v>22</x:v>
      </x:c>
      <x:c r="E55" s="3" t="n">
        <x:v>22.8</x:v>
      </x:c>
      <x:c r="F55" s="4" t="n">
        <x:v>65</x:v>
      </x:c>
      <x:c r="G55" s="4" t="n">
        <x:v>1018</x:v>
      </x:c>
      <x:c r="H55" t="inlineStr">
        <x:is>
          <x:t xml:space="preserve">scattered clouds</x:t>
        </x:is>
      </x:c>
      <x:c r="I55" s="3" t="n">
        <x:v>14.4</x:v>
      </x:c>
    </x:row>
    <x:row r="56">
      <x:c r="A56" t="n">
        <x:v>55</x:v>
      </x:c>
      <x:c r="B56" s="2" t="n">
        <x:v>45809.66666666666</x:v>
      </x:c>
      <x:c r="C56" t="inlineStr">
        <x:is>
          <x:t xml:space="preserve">Lisbon</x:t>
        </x:is>
      </x:c>
      <x:c r="D56" s="3" t="n">
        <x:v>22</x:v>
      </x:c>
      <x:c r="E56" s="3" t="n">
        <x:v>22.2</x:v>
      </x:c>
      <x:c r="F56" s="4" t="n">
        <x:v>65</x:v>
      </x:c>
      <x:c r="G56" s="4" t="n">
        <x:v>1023</x:v>
      </x:c>
      <x:c r="H56" t="inlineStr">
        <x:is>
          <x:t xml:space="preserve">clear sky</x:t>
        </x:is>
      </x:c>
      <x:c r="I56" s="3" t="n">
        <x:v>15.4</x:v>
      </x:c>
    </x:row>
    <x:row r="57">
      <x:c r="A57" t="n">
        <x:v>56</x:v>
      </x:c>
      <x:c r="B57" s="2" t="n">
        <x:v>45810.38888888889</x:v>
      </x:c>
      <x:c r="C57" t="inlineStr">
        <x:is>
          <x:t xml:space="preserve">Lisbon</x:t>
        </x:is>
      </x:c>
      <x:c r="D57" s="3" t="n">
        <x:v>17.7</x:v>
      </x:c>
      <x:c r="E57" s="3" t="n">
        <x:v>18.6</x:v>
      </x:c>
      <x:c r="F57" s="4" t="n">
        <x:v>55</x:v>
      </x:c>
      <x:c r="G57" s="4" t="n">
        <x:v>1016</x:v>
      </x:c>
      <x:c r="H57" t="inlineStr">
        <x:is>
          <x:t xml:space="preserve">clear sky</x:t>
        </x:is>
      </x:c>
      <x:c r="I57" s="3" t="n">
        <x:v>14.6</x:v>
      </x:c>
    </x:row>
    <x:row r="58">
      <x:c r="A58" t="n">
        <x:v>57</x:v>
      </x:c>
      <x:c r="B58" s="2" t="n">
        <x:v>45811.48611111111</x:v>
      </x:c>
      <x:c r="C58" t="inlineStr">
        <x:is>
          <x:t xml:space="preserve">Lisbon</x:t>
        </x:is>
      </x:c>
      <x:c r="D58" s="3" t="n">
        <x:v>18.9</x:v>
      </x:c>
      <x:c r="E58" s="3" t="n">
        <x:v>18</x:v>
      </x:c>
      <x:c r="F58" s="4" t="n">
        <x:v>58</x:v>
      </x:c>
      <x:c r="G58" s="4" t="n">
        <x:v>1020</x:v>
      </x:c>
      <x:c r="H58" t="inlineStr">
        <x:is>
          <x:t xml:space="preserve">clear sky</x:t>
        </x:is>
      </x:c>
      <x:c r="I58" s="3" t="n">
        <x:v>19.8</x:v>
      </x:c>
    </x:row>
    <x:row r="59">
      <x:c r="A59" t="n">
        <x:v>58</x:v>
      </x:c>
      <x:c r="B59" s="2" t="n">
        <x:v>45812.58333333334</x:v>
      </x:c>
      <x:c r="C59" t="inlineStr">
        <x:is>
          <x:t xml:space="preserve">Lisbon</x:t>
        </x:is>
      </x:c>
      <x:c r="D59" s="3" t="n">
        <x:v>21.9</x:v>
      </x:c>
      <x:c r="E59" s="3" t="n">
        <x:v>22.5</x:v>
      </x:c>
      <x:c r="F59" s="4" t="n">
        <x:v>75</x:v>
      </x:c>
      <x:c r="G59" s="4" t="n">
        <x:v>1010</x:v>
      </x:c>
      <x:c r="H59" t="inlineStr">
        <x:is>
          <x:t xml:space="preserve">broken clouds</x:t>
        </x:is>
      </x:c>
      <x:c r="I59" s="3" t="n">
        <x:v>15.6</x:v>
      </x:c>
    </x:row>
    <x:row r="60">
      <x:c r="A60" t="n">
        <x:v>59</x:v>
      </x:c>
      <x:c r="B60" s="2" t="n">
        <x:v>45813.40277777778</x:v>
      </x:c>
      <x:c r="C60" t="inlineStr">
        <x:is>
          <x:t xml:space="preserve">Lisbon</x:t>
        </x:is>
      </x:c>
      <x:c r="D60" s="3" t="n">
        <x:v>15.3</x:v>
      </x:c>
      <x:c r="E60" s="3" t="n">
        <x:v>16.2</x:v>
      </x:c>
      <x:c r="F60" s="4" t="n">
        <x:v>70</x:v>
      </x:c>
      <x:c r="G60" s="4" t="n">
        <x:v>1019</x:v>
      </x:c>
      <x:c r="H60" t="inlineStr">
        <x:is>
          <x:t xml:space="preserve">clear sky</x:t>
        </x:is>
      </x:c>
      <x:c r="I60" s="3" t="n">
        <x:v>16.4</x:v>
      </x:c>
    </x:row>
    <x:row r="61">
      <x:c r="A61" t="n">
        <x:v>60</x:v>
      </x:c>
      <x:c r="B61" s="2" t="n">
        <x:v>45814.80555555555</x:v>
      </x:c>
      <x:c r="C61" t="inlineStr">
        <x:is>
          <x:t xml:space="preserve">Lisbon</x:t>
        </x:is>
      </x:c>
      <x:c r="D61" s="3" t="n">
        <x:v>20.6</x:v>
      </x:c>
      <x:c r="E61" s="3" t="n">
        <x:v>20.5</x:v>
      </x:c>
      <x:c r="F61" s="4" t="n">
        <x:v>65</x:v>
      </x:c>
      <x:c r="G61" s="4" t="n">
        <x:v>1017</x:v>
      </x:c>
      <x:c r="H61" t="inlineStr">
        <x:is>
          <x:t xml:space="preserve">clear sky</x:t>
        </x:is>
      </x:c>
      <x:c r="I61" s="3" t="n">
        <x:v>16</x:v>
      </x:c>
    </x:row>
    <x:row r="62">
      <x:c r="A62" t="n">
        <x:v>61</x:v>
      </x:c>
      <x:c r="B62" s="2" t="n">
        <x:v>45815.6875</x:v>
      </x:c>
      <x:c r="C62" t="inlineStr">
        <x:is>
          <x:t xml:space="preserve">Lisbon</x:t>
        </x:is>
      </x:c>
      <x:c r="D62" s="3" t="n">
        <x:v>21</x:v>
      </x:c>
      <x:c r="E62" s="3" t="n">
        <x:v>19.9</x:v>
      </x:c>
      <x:c r="F62" s="4" t="n">
        <x:v>67</x:v>
      </x:c>
      <x:c r="G62" s="4" t="n">
        <x:v>1007</x:v>
      </x:c>
      <x:c r="H62" t="inlineStr">
        <x:is>
          <x:t xml:space="preserve">light rain</x:t>
        </x:is>
      </x:c>
      <x:c r="I62" s="3" t="n">
        <x:v>22.5</x:v>
      </x:c>
    </x:row>
    <x:row r="63">
      <x:c r="A63" t="n">
        <x:v>62</x:v>
      </x:c>
      <x:c r="B63" s="2" t="n">
        <x:v>45816.39583333334</x:v>
      </x:c>
      <x:c r="C63" t="inlineStr">
        <x:is>
          <x:t xml:space="preserve">Lisbon</x:t>
        </x:is>
      </x:c>
      <x:c r="D63" s="3" t="n">
        <x:v>16.7</x:v>
      </x:c>
      <x:c r="E63" s="3" t="n">
        <x:v>17.6</x:v>
      </x:c>
      <x:c r="F63" s="4" t="n">
        <x:v>75</x:v>
      </x:c>
      <x:c r="G63" s="4" t="n">
        <x:v>1012</x:v>
      </x:c>
      <x:c r="H63" t="inlineStr">
        <x:is>
          <x:t xml:space="preserve">few clouds</x:t>
        </x:is>
      </x:c>
      <x:c r="I63" s="3" t="n">
        <x:v>14.7</x:v>
      </x:c>
    </x:row>
    <x:row r="64">
      <x:c r="A64" t="n">
        <x:v>63</x:v>
      </x:c>
      <x:c r="B64" s="2" t="n">
        <x:v>45817.51388888889</x:v>
      </x:c>
      <x:c r="C64" t="inlineStr">
        <x:is>
          <x:t xml:space="preserve">Lisbon</x:t>
        </x:is>
      </x:c>
      <x:c r="D64" s="3" t="n">
        <x:v>17.5</x:v>
      </x:c>
      <x:c r="E64" s="3" t="n">
        <x:v>16.3</x:v>
      </x:c>
      <x:c r="F64" s="4" t="n">
        <x:v>62</x:v>
      </x:c>
      <x:c r="G64" s="4" t="n">
        <x:v>1019</x:v>
      </x:c>
      <x:c r="H64" t="inlineStr">
        <x:is>
          <x:t xml:space="preserve">few clouds</x:t>
        </x:is>
      </x:c>
      <x:c r="I64" s="3" t="n">
        <x:v>19.7</x:v>
      </x:c>
    </x:row>
    <x:row r="65">
      <x:c r="A65" t="n">
        <x:v>64</x:v>
      </x:c>
      <x:c r="B65" s="2" t="n">
        <x:v>45818.32638888889</x:v>
      </x:c>
      <x:c r="C65" t="inlineStr">
        <x:is>
          <x:t xml:space="preserve">Lisbon</x:t>
        </x:is>
      </x:c>
      <x:c r="D65" s="3" t="n">
        <x:v>16.9</x:v>
      </x:c>
      <x:c r="E65" s="3" t="n">
        <x:v>17.5</x:v>
      </x:c>
      <x:c r="F65" s="4" t="n">
        <x:v>80</x:v>
      </x:c>
      <x:c r="G65" s="4" t="n">
        <x:v>1021</x:v>
      </x:c>
      <x:c r="H65" t="inlineStr">
        <x:is>
          <x:t xml:space="preserve">few clouds</x:t>
        </x:is>
      </x:c>
      <x:c r="I65" s="3" t="n">
        <x:v>23.6</x:v>
      </x:c>
    </x:row>
    <x:row r="66">
      <x:c r="A66" t="n">
        <x:v>65</x:v>
      </x:c>
      <x:c r="B66" s="2" t="n">
        <x:v>45819.79166666666</x:v>
      </x:c>
      <x:c r="C66" t="inlineStr">
        <x:is>
          <x:t xml:space="preserve">Lisbon</x:t>
        </x:is>
      </x:c>
      <x:c r="D66" s="3" t="n">
        <x:v>21.5</x:v>
      </x:c>
      <x:c r="E66" s="3" t="n">
        <x:v>21.9</x:v>
      </x:c>
      <x:c r="F66" s="4" t="n">
        <x:v>60</x:v>
      </x:c>
      <x:c r="G66" s="4" t="n">
        <x:v>1016</x:v>
      </x:c>
      <x:c r="H66" t="inlineStr">
        <x:is>
          <x:t xml:space="preserve">clear sky</x:t>
        </x:is>
      </x:c>
      <x:c r="I66" s="3" t="n">
        <x:v>15.7</x:v>
      </x:c>
    </x:row>
    <x:row r="67">
      <x:c r="A67" t="n">
        <x:v>66</x:v>
      </x:c>
      <x:c r="B67" s="2" t="n">
        <x:v>45821.51388888889</x:v>
      </x:c>
      <x:c r="C67" t="inlineStr">
        <x:is>
          <x:t xml:space="preserve">Lisbon</x:t>
        </x:is>
      </x:c>
      <x:c r="D67" s="3" t="n">
        <x:v>19.2</x:v>
      </x:c>
      <x:c r="E67" s="3" t="n">
        <x:v>19.4</x:v>
      </x:c>
      <x:c r="F67" s="4" t="n">
        <x:v>68</x:v>
      </x:c>
      <x:c r="G67" s="4" t="n">
        <x:v>1013</x:v>
      </x:c>
      <x:c r="H67" t="inlineStr">
        <x:is>
          <x:t xml:space="preserve">clear sky</x:t>
        </x:is>
      </x:c>
      <x:c r="I67" s="3" t="n">
        <x:v>13.4</x:v>
      </x:c>
    </x:row>
    <x:row r="68">
      <x:c r="A68" t="n">
        <x:v>67</x:v>
      </x:c>
      <x:c r="B68" s="2" t="n">
        <x:v>45822.79166666666</x:v>
      </x:c>
      <x:c r="C68" t="inlineStr">
        <x:is>
          <x:t xml:space="preserve">Lisbon</x:t>
        </x:is>
      </x:c>
      <x:c r="D68" s="3" t="n">
        <x:v>25.1</x:v>
      </x:c>
      <x:c r="E68" s="3" t="n">
        <x:v>24.8</x:v>
      </x:c>
      <x:c r="F68" s="4" t="n">
        <x:v>76</x:v>
      </x:c>
      <x:c r="G68" s="4" t="n">
        <x:v>1015</x:v>
      </x:c>
      <x:c r="H68" t="inlineStr">
        <x:is>
          <x:t xml:space="preserve">moderate rain</x:t>
        </x:is>
      </x:c>
      <x:c r="I68" s="3" t="n">
        <x:v>20.6</x:v>
      </x:c>
    </x:row>
    <x:row r="69">
      <x:c r="A69" t="n">
        <x:v>68</x:v>
      </x:c>
      <x:c r="B69" s="2" t="n">
        <x:v>45823.69444444445</x:v>
      </x:c>
      <x:c r="C69" t="inlineStr">
        <x:is>
          <x:t xml:space="preserve">Lisbon</x:t>
        </x:is>
      </x:c>
      <x:c r="D69" s="3" t="n">
        <x:v>21.2</x:v>
      </x:c>
      <x:c r="E69" s="3" t="n">
        <x:v>21.9</x:v>
      </x:c>
      <x:c r="F69" s="4" t="n">
        <x:v>62</x:v>
      </x:c>
      <x:c r="G69" s="4" t="n">
        <x:v>1008</x:v>
      </x:c>
      <x:c r="H69" t="inlineStr">
        <x:is>
          <x:t xml:space="preserve">thunderstorm</x:t>
        </x:is>
      </x:c>
      <x:c r="I69" s="3" t="n">
        <x:v>21.8</x:v>
      </x:c>
    </x:row>
    <x:row r="70">
      <x:c r="A70" t="n">
        <x:v>69</x:v>
      </x:c>
      <x:c r="B70" s="2" t="n">
        <x:v>45824.70138888889</x:v>
      </x:c>
      <x:c r="C70" t="inlineStr">
        <x:is>
          <x:t xml:space="preserve">Lisbon</x:t>
        </x:is>
      </x:c>
      <x:c r="D70" s="3" t="n">
        <x:v>19.7</x:v>
      </x:c>
      <x:c r="E70" s="3" t="n">
        <x:v>19</x:v>
      </x:c>
      <x:c r="F70" s="4" t="n">
        <x:v>64</x:v>
      </x:c>
      <x:c r="G70" s="4" t="n">
        <x:v>1013</x:v>
      </x:c>
      <x:c r="H70" t="inlineStr">
        <x:is>
          <x:t xml:space="preserve">thunderstorm</x:t>
        </x:is>
      </x:c>
      <x:c r="I70" s="3" t="n">
        <x:v>23.2</x:v>
      </x:c>
    </x:row>
    <x:row r="71">
      <x:c r="A71" t="n">
        <x:v>70</x:v>
      </x:c>
      <x:c r="B71" s="2" t="n">
        <x:v>45825.40972222222</x:v>
      </x:c>
      <x:c r="C71" t="inlineStr">
        <x:is>
          <x:t xml:space="preserve">Lisbon</x:t>
        </x:is>
      </x:c>
      <x:c r="D71" s="3" t="n">
        <x:v>18.2</x:v>
      </x:c>
      <x:c r="E71" s="3" t="n">
        <x:v>19.3</x:v>
      </x:c>
      <x:c r="F71" s="4" t="n">
        <x:v>52</x:v>
      </x:c>
      <x:c r="G71" s="4" t="n">
        <x:v>1019</x:v>
      </x:c>
      <x:c r="H71" t="inlineStr">
        <x:is>
          <x:t xml:space="preserve">clear sky</x:t>
        </x:is>
      </x:c>
      <x:c r="I71" s="3" t="n">
        <x:v>18.1</x:v>
      </x:c>
    </x:row>
    <x:row r="72">
      <x:c r="A72" t="n">
        <x:v>71</x:v>
      </x:c>
      <x:c r="B72" s="2" t="n">
        <x:v>45827.65277777778</x:v>
      </x:c>
      <x:c r="C72" t="inlineStr">
        <x:is>
          <x:t xml:space="preserve">Lisbon</x:t>
        </x:is>
      </x:c>
      <x:c r="D72" s="3" t="n">
        <x:v>22.8</x:v>
      </x:c>
      <x:c r="E72" s="3" t="n">
        <x:v>21.7</x:v>
      </x:c>
      <x:c r="F72" s="4" t="n">
        <x:v>62</x:v>
      </x:c>
      <x:c r="G72" s="4" t="n">
        <x:v>1014</x:v>
      </x:c>
      <x:c r="H72" t="inlineStr">
        <x:is>
          <x:t xml:space="preserve">clear sky</x:t>
        </x:is>
      </x:c>
      <x:c r="I72" s="3" t="n">
        <x:v>19.5</x:v>
      </x:c>
    </x:row>
    <x:row r="73">
      <x:c r="A73" t="n">
        <x:v>72</x:v>
      </x:c>
      <x:c r="B73" s="2" t="n">
        <x:v>45829.65972222222</x:v>
      </x:c>
      <x:c r="C73" t="inlineStr">
        <x:is>
          <x:t xml:space="preserve">Lisbon</x:t>
        </x:is>
      </x:c>
      <x:c r="D73" s="3" t="n">
        <x:v>21.7</x:v>
      </x:c>
      <x:c r="E73" s="3" t="n">
        <x:v>22.9</x:v>
      </x:c>
      <x:c r="F73" s="4" t="n">
        <x:v>49</x:v>
      </x:c>
      <x:c r="G73" s="4" t="n">
        <x:v>1020</x:v>
      </x:c>
      <x:c r="H73" t="inlineStr">
        <x:is>
          <x:t xml:space="preserve">clear sky</x:t>
        </x:is>
      </x:c>
      <x:c r="I73" s="3" t="n">
        <x:v>18.2</x:v>
      </x:c>
    </x:row>
    <x:row r="74">
      <x:c r="A74" t="n">
        <x:v>73</x:v>
      </x:c>
      <x:c r="B74" s="2" t="n">
        <x:v>45830.80555555555</x:v>
      </x:c>
      <x:c r="C74" t="inlineStr">
        <x:is>
          <x:t xml:space="preserve">Lisbon</x:t>
        </x:is>
      </x:c>
      <x:c r="D74" s="3" t="n">
        <x:v>24.8</x:v>
      </x:c>
      <x:c r="E74" s="3" t="n">
        <x:v>24.5</x:v>
      </x:c>
      <x:c r="F74" s="4" t="n">
        <x:v>57</x:v>
      </x:c>
      <x:c r="G74" s="4" t="n">
        <x:v>1010</x:v>
      </x:c>
      <x:c r="H74" t="inlineStr">
        <x:is>
          <x:t xml:space="preserve">few clouds</x:t>
        </x:is>
      </x:c>
      <x:c r="I74" s="3" t="n">
        <x:v>15.6</x:v>
      </x:c>
    </x:row>
    <x:row r="75">
      <x:c r="A75" t="n">
        <x:v>74</x:v>
      </x:c>
      <x:c r="B75" s="2" t="n">
        <x:v>45831.78472222222</x:v>
      </x:c>
      <x:c r="C75" t="inlineStr">
        <x:is>
          <x:t xml:space="preserve">Lisbon</x:t>
        </x:is>
      </x:c>
      <x:c r="D75" s="3" t="n">
        <x:v>26.2</x:v>
      </x:c>
      <x:c r="E75" s="3" t="n">
        <x:v>26</x:v>
      </x:c>
      <x:c r="F75" s="4" t="n">
        <x:v>45</x:v>
      </x:c>
      <x:c r="G75" s="4" t="n">
        <x:v>1024</x:v>
      </x:c>
      <x:c r="H75" t="inlineStr">
        <x:is>
          <x:t xml:space="preserve">clear sky</x:t>
        </x:is>
      </x:c>
      <x:c r="I75" s="3" t="n">
        <x:v>22.3</x:v>
      </x:c>
    </x:row>
    <x:row r="76">
      <x:c r="A76" t="n">
        <x:v>75</x:v>
      </x:c>
      <x:c r="B76" s="2" t="n">
        <x:v>45832.65277777778</x:v>
      </x:c>
      <x:c r="C76" t="inlineStr">
        <x:is>
          <x:t xml:space="preserve">Lisbon</x:t>
        </x:is>
      </x:c>
      <x:c r="D76" s="3" t="n">
        <x:v>22.4</x:v>
      </x:c>
      <x:c r="E76" s="3" t="n">
        <x:v>22.9</x:v>
      </x:c>
      <x:c r="F76" s="4" t="n">
        <x:v>39</x:v>
      </x:c>
      <x:c r="G76" s="4" t="n">
        <x:v>1014</x:v>
      </x:c>
      <x:c r="H76" t="inlineStr">
        <x:is>
          <x:t xml:space="preserve">clear sky</x:t>
        </x:is>
      </x:c>
      <x:c r="I76" s="3" t="n">
        <x:v>20.9</x:v>
      </x:c>
    </x:row>
    <x:row r="77">
      <x:c r="A77" t="n">
        <x:v>76</x:v>
      </x:c>
      <x:c r="B77" s="2" t="n">
        <x:v>45833.42361111111</x:v>
      </x:c>
      <x:c r="C77" t="inlineStr">
        <x:is>
          <x:t xml:space="preserve">Lisbon</x:t>
        </x:is>
      </x:c>
      <x:c r="D77" s="3" t="n">
        <x:v>19.6</x:v>
      </x:c>
      <x:c r="E77" s="3" t="n">
        <x:v>19.8</x:v>
      </x:c>
      <x:c r="F77" s="4" t="n">
        <x:v>78</x:v>
      </x:c>
      <x:c r="G77" s="4" t="n">
        <x:v>1016</x:v>
      </x:c>
      <x:c r="H77" t="inlineStr">
        <x:is>
          <x:t xml:space="preserve">clear sky</x:t>
        </x:is>
      </x:c>
      <x:c r="I77" s="3" t="n">
        <x:v>13.9</x:v>
      </x:c>
    </x:row>
    <x:row r="78">
      <x:c r="A78" t="n">
        <x:v>77</x:v>
      </x:c>
      <x:c r="B78" s="2" t="n">
        <x:v>45834.82638888889</x:v>
      </x:c>
      <x:c r="C78" t="inlineStr">
        <x:is>
          <x:t xml:space="preserve">Lisbon</x:t>
        </x:is>
      </x:c>
      <x:c r="D78" s="3" t="n">
        <x:v>24.5</x:v>
      </x:c>
      <x:c r="E78" s="3" t="n">
        <x:v>25.2</x:v>
      </x:c>
      <x:c r="F78" s="4" t="n">
        <x:v>65</x:v>
      </x:c>
      <x:c r="G78" s="4" t="n">
        <x:v>1015</x:v>
      </x:c>
      <x:c r="H78" t="inlineStr">
        <x:is>
          <x:t xml:space="preserve">overcast clouds</x:t>
        </x:is>
      </x:c>
      <x:c r="I78" s="3" t="n">
        <x:v>14.5</x:v>
      </x:c>
    </x:row>
    <x:row r="79">
      <x:c r="A79" t="n">
        <x:v>78</x:v>
      </x:c>
      <x:c r="B79" s="2" t="n">
        <x:v>45835.78472222222</x:v>
      </x:c>
      <x:c r="C79" t="inlineStr">
        <x:is>
          <x:t xml:space="preserve">Lisbon</x:t>
        </x:is>
      </x:c>
      <x:c r="D79" s="3" t="n">
        <x:v>21.2</x:v>
      </x:c>
      <x:c r="E79" s="3" t="n">
        <x:v>21.8</x:v>
      </x:c>
      <x:c r="F79" s="4" t="n">
        <x:v>92</x:v>
      </x:c>
      <x:c r="G79" s="4" t="n">
        <x:v>1009</x:v>
      </x:c>
      <x:c r="H79" t="inlineStr">
        <x:is>
          <x:t xml:space="preserve">thunderstorm</x:t>
        </x:is>
      </x:c>
      <x:c r="I79" s="3" t="n">
        <x:v>26.1</x:v>
      </x:c>
    </x:row>
    <x:row r="80">
      <x:c r="A80" t="n">
        <x:v>79</x:v>
      </x:c>
      <x:c r="B80" s="2" t="n">
        <x:v>45836.48611111111</x:v>
      </x:c>
      <x:c r="C80" t="inlineStr">
        <x:is>
          <x:t xml:space="preserve">Lisbon</x:t>
        </x:is>
      </x:c>
      <x:c r="D80" s="3" t="n">
        <x:v>18.6</x:v>
      </x:c>
      <x:c r="E80" s="3" t="n">
        <x:v>18.5</x:v>
      </x:c>
      <x:c r="F80" s="4" t="n">
        <x:v>63</x:v>
      </x:c>
      <x:c r="G80" s="4" t="n">
        <x:v>1002</x:v>
      </x:c>
      <x:c r="H80" t="inlineStr">
        <x:is>
          <x:t xml:space="preserve">moderate rain</x:t>
        </x:is>
      </x:c>
      <x:c r="I80" s="3" t="n">
        <x:v>21.2</x:v>
      </x:c>
    </x:row>
    <x:row r="81">
      <x:c r="A81" t="n">
        <x:v>80</x:v>
      </x:c>
      <x:c r="B81" s="2" t="n">
        <x:v>45837.64583333334</x:v>
      </x:c>
      <x:c r="C81" t="inlineStr">
        <x:is>
          <x:t xml:space="preserve">Lisbon</x:t>
        </x:is>
      </x:c>
      <x:c r="D81" s="3" t="n">
        <x:v>21.4</x:v>
      </x:c>
      <x:c r="E81" s="3" t="n">
        <x:v>20.5</x:v>
      </x:c>
      <x:c r="F81" s="4" t="n">
        <x:v>59</x:v>
      </x:c>
      <x:c r="G81" s="4" t="n">
        <x:v>1014</x:v>
      </x:c>
      <x:c r="H81" t="inlineStr">
        <x:is>
          <x:t xml:space="preserve">clear sky</x:t>
        </x:is>
      </x:c>
      <x:c r="I81" s="3" t="n">
        <x:v>16.4</x:v>
      </x:c>
    </x:row>
    <x:row r="82">
      <x:c r="A82" t="n">
        <x:v>81</x:v>
      </x:c>
      <x:c r="B82" s="2" t="n">
        <x:v>45838.26388888889</x:v>
      </x:c>
      <x:c r="C82" t="inlineStr">
        <x:is>
          <x:t xml:space="preserve">Lisbon</x:t>
        </x:is>
      </x:c>
      <x:c r="D82" s="3" t="n">
        <x:v>19.8</x:v>
      </x:c>
      <x:c r="E82" s="3" t="n">
        <x:v>20.4</x:v>
      </x:c>
      <x:c r="F82" s="4" t="n">
        <x:v>79</x:v>
      </x:c>
      <x:c r="G82" s="4" t="n">
        <x:v>1005</x:v>
      </x:c>
      <x:c r="H82" t="inlineStr">
        <x:is>
          <x:t xml:space="preserve">light rain</x:t>
        </x:is>
      </x:c>
      <x:c r="I82" s="3" t="n">
        <x:v>18.2</x:v>
      </x:c>
    </x:row>
    <x:row r="83">
      <x:c r="A83" t="n">
        <x:v>82</x:v>
      </x:c>
      <x:c r="B83" s="2" t="n">
        <x:v>45839.63194444445</x:v>
      </x:c>
      <x:c r="C83" t="inlineStr">
        <x:is>
          <x:t xml:space="preserve">Lisbon</x:t>
        </x:is>
      </x:c>
      <x:c r="D83" s="3" t="n">
        <x:v>19.4</x:v>
      </x:c>
      <x:c r="E83" s="3" t="n">
        <x:v>18.9</x:v>
      </x:c>
      <x:c r="F83" s="4" t="n">
        <x:v>52</x:v>
      </x:c>
      <x:c r="G83" s="4" t="n">
        <x:v>1015</x:v>
      </x:c>
      <x:c r="H83" t="inlineStr">
        <x:is>
          <x:t xml:space="preserve">few clouds</x:t>
        </x:is>
      </x:c>
      <x:c r="I83" s="3" t="n">
        <x:v>15.4</x:v>
      </x:c>
    </x:row>
    <x:row r="84">
      <x:c r="A84" t="n">
        <x:v>83</x:v>
      </x:c>
      <x:c r="B84" s="2" t="n">
        <x:v>45840.81944444445</x:v>
      </x:c>
      <x:c r="C84" t="inlineStr">
        <x:is>
          <x:t xml:space="preserve">Lisbon</x:t>
        </x:is>
      </x:c>
      <x:c r="D84" s="3" t="n">
        <x:v>25</x:v>
      </x:c>
      <x:c r="E84" s="3" t="n">
        <x:v>26</x:v>
      </x:c>
      <x:c r="F84" s="4" t="n">
        <x:v>59</x:v>
      </x:c>
      <x:c r="G84" s="4" t="n">
        <x:v>1014</x:v>
      </x:c>
      <x:c r="H84" t="inlineStr">
        <x:is>
          <x:t xml:space="preserve">scattered clouds</x:t>
        </x:is>
      </x:c>
      <x:c r="I84" s="3" t="n">
        <x:v>12.4</x:v>
      </x:c>
    </x:row>
    <x:row r="85">
      <x:c r="A85" t="n">
        <x:v>84</x:v>
      </x:c>
      <x:c r="B85" s="2" t="n">
        <x:v>45841.6875</x:v>
      </x:c>
      <x:c r="C85" t="inlineStr">
        <x:is>
          <x:t xml:space="preserve">Lisbon</x:t>
        </x:is>
      </x:c>
      <x:c r="D85" s="3" t="n">
        <x:v>22.2</x:v>
      </x:c>
      <x:c r="E85" s="3" t="n">
        <x:v>22.2</x:v>
      </x:c>
      <x:c r="F85" s="4" t="n">
        <x:v>54</x:v>
      </x:c>
      <x:c r="G85" s="4" t="n">
        <x:v>1013</x:v>
      </x:c>
      <x:c r="H85" t="inlineStr">
        <x:is>
          <x:t xml:space="preserve">scattered clouds</x:t>
        </x:is>
      </x:c>
      <x:c r="I85" s="3" t="n">
        <x:v>12.5</x:v>
      </x:c>
    </x:row>
    <x:row r="86">
      <x:c r="A86" t="n">
        <x:v>85</x:v>
      </x:c>
      <x:c r="B86" s="2" t="n">
        <x:v>45842.85416666666</x:v>
      </x:c>
      <x:c r="C86" t="inlineStr">
        <x:is>
          <x:t xml:space="preserve">Lisbon</x:t>
        </x:is>
      </x:c>
      <x:c r="D86" s="3" t="n">
        <x:v>22.2</x:v>
      </x:c>
      <x:c r="E86" s="3" t="n">
        <x:v>21.1</x:v>
      </x:c>
      <x:c r="F86" s="4" t="n">
        <x:v>87</x:v>
      </x:c>
      <x:c r="G86" s="4" t="n">
        <x:v>1012</x:v>
      </x:c>
      <x:c r="H86" t="inlineStr">
        <x:is>
          <x:t xml:space="preserve">light rain</x:t>
        </x:is>
      </x:c>
      <x:c r="I86" s="3" t="n">
        <x:v>21.5</x:v>
      </x:c>
    </x:row>
    <x:row r="87">
      <x:c r="A87" t="n">
        <x:v>86</x:v>
      </x:c>
      <x:c r="B87" s="2" t="n">
        <x:v>45843.52777777778</x:v>
      </x:c>
      <x:c r="C87" t="inlineStr">
        <x:is>
          <x:t xml:space="preserve">Lisbon</x:t>
        </x:is>
      </x:c>
      <x:c r="D87" s="3" t="n">
        <x:v>22.1</x:v>
      </x:c>
      <x:c r="E87" s="3" t="n">
        <x:v>22.2</x:v>
      </x:c>
      <x:c r="F87" s="4" t="n">
        <x:v>84</x:v>
      </x:c>
      <x:c r="G87" s="4" t="n">
        <x:v>1005</x:v>
      </x:c>
      <x:c r="H87" t="inlineStr">
        <x:is>
          <x:t xml:space="preserve">moderate rain</x:t>
        </x:is>
      </x:c>
      <x:c r="I87" s="3" t="n">
        <x:v>35.3</x:v>
      </x:c>
    </x:row>
    <x:row r="88">
      <x:c r="A88" t="n">
        <x:v>87</x:v>
      </x:c>
      <x:c r="B88" s="2" t="n">
        <x:v>45844.90972222222</x:v>
      </x:c>
      <x:c r="C88" t="inlineStr">
        <x:is>
          <x:t xml:space="preserve">Lisbon</x:t>
        </x:is>
      </x:c>
      <x:c r="D88" s="3" t="n">
        <x:v>23.7</x:v>
      </x:c>
      <x:c r="E88" s="3" t="n">
        <x:v>24</x:v>
      </x:c>
      <x:c r="F88" s="4" t="n">
        <x:v>66</x:v>
      </x:c>
      <x:c r="G88" s="4" t="n">
        <x:v>1021</x:v>
      </x:c>
      <x:c r="H88" t="inlineStr">
        <x:is>
          <x:t xml:space="preserve">scattered clouds</x:t>
        </x:is>
      </x:c>
      <x:c r="I88" s="3" t="n">
        <x:v>24.8</x:v>
      </x:c>
    </x:row>
    <x:row r="89">
      <x:c r="A89" t="n">
        <x:v>88</x:v>
      </x:c>
      <x:c r="B89" s="2" t="n">
        <x:v>45845.49305555555</x:v>
      </x:c>
      <x:c r="C89" t="inlineStr">
        <x:is>
          <x:t xml:space="preserve">Lisbon</x:t>
        </x:is>
      </x:c>
      <x:c r="D89" s="3" t="n">
        <x:v>19</x:v>
      </x:c>
      <x:c r="E89" s="3" t="n">
        <x:v>19.4</x:v>
      </x:c>
      <x:c r="F89" s="4" t="n">
        <x:v>57</x:v>
      </x:c>
      <x:c r="G89" s="4" t="n">
        <x:v>1015</x:v>
      </x:c>
      <x:c r="H89" t="inlineStr">
        <x:is>
          <x:t xml:space="preserve">overcast clouds</x:t>
        </x:is>
      </x:c>
      <x:c r="I89" s="3" t="n">
        <x:v>12.9</x:v>
      </x:c>
    </x:row>
    <x:row r="90">
      <x:c r="A90" t="n">
        <x:v>89</x:v>
      </x:c>
      <x:c r="B90" s="2" t="n">
        <x:v>45846.34722222222</x:v>
      </x:c>
      <x:c r="C90" t="inlineStr">
        <x:is>
          <x:t xml:space="preserve">Lisbon</x:t>
        </x:is>
      </x:c>
      <x:c r="D90" s="3" t="n">
        <x:v>21</x:v>
      </x:c>
      <x:c r="E90" s="3" t="n">
        <x:v>20.4</x:v>
      </x:c>
      <x:c r="F90" s="4" t="n">
        <x:v>64</x:v>
      </x:c>
      <x:c r="G90" s="4" t="n">
        <x:v>1014</x:v>
      </x:c>
      <x:c r="H90" t="inlineStr">
        <x:is>
          <x:t xml:space="preserve">clear sky</x:t>
        </x:is>
      </x:c>
      <x:c r="I90" s="3" t="n">
        <x:v>12.2</x:v>
      </x:c>
    </x:row>
    <x:row r="91">
      <x:c r="A91" t="n">
        <x:v>90</x:v>
      </x:c>
      <x:c r="B91" s="2" t="n">
        <x:v>45847.66666666666</x:v>
      </x:c>
      <x:c r="C91" t="inlineStr">
        <x:is>
          <x:t xml:space="preserve">Lisbon</x:t>
        </x:is>
      </x:c>
      <x:c r="D91" s="3" t="n">
        <x:v>23.7</x:v>
      </x:c>
      <x:c r="E91" s="3" t="n">
        <x:v>24.1</x:v>
      </x:c>
      <x:c r="F91" s="4" t="n">
        <x:v>45</x:v>
      </x:c>
      <x:c r="G91" s="4" t="n">
        <x:v>1008</x:v>
      </x:c>
      <x:c r="H91" t="inlineStr">
        <x:is>
          <x:t xml:space="preserve">clear sky</x:t>
        </x:is>
      </x:c>
      <x:c r="I91" s="3" t="n">
        <x:v>18</x:v>
      </x:c>
    </x:row>
    <x:row r="92">
      <x:c r="A92" t="n">
        <x:v>91</x:v>
      </x:c>
      <x:c r="B92" s="2" t="n">
        <x:v>45848.57638888889</x:v>
      </x:c>
      <x:c r="C92" t="inlineStr">
        <x:is>
          <x:t xml:space="preserve">Lisbon</x:t>
        </x:is>
      </x:c>
      <x:c r="D92" s="3" t="n">
        <x:v>24.1</x:v>
      </x:c>
      <x:c r="E92" s="3" t="n">
        <x:v>23.3</x:v>
      </x:c>
      <x:c r="F92" s="4" t="n">
        <x:v>54</x:v>
      </x:c>
      <x:c r="G92" s="4" t="n">
        <x:v>1007</x:v>
      </x:c>
      <x:c r="H92" t="inlineStr">
        <x:is>
          <x:t xml:space="preserve">clear sky</x:t>
        </x:is>
      </x:c>
      <x:c r="I92" s="3" t="n">
        <x:v>17.6</x:v>
      </x:c>
    </x:row>
    <x:row r="93">
      <x:c r="A93" t="n">
        <x:v>92</x:v>
      </x:c>
      <x:c r="B93" s="2" t="n">
        <x:v>45849.63194444445</x:v>
      </x:c>
      <x:c r="C93" t="inlineStr">
        <x:is>
          <x:t xml:space="preserve">Lisbon</x:t>
        </x:is>
      </x:c>
      <x:c r="D93" s="3" t="n">
        <x:v>22.9</x:v>
      </x:c>
      <x:c r="E93" s="3" t="n">
        <x:v>23.4</x:v>
      </x:c>
      <x:c r="F93" s="4" t="n">
        <x:v>76</x:v>
      </x:c>
      <x:c r="G93" s="4" t="n">
        <x:v>1009</x:v>
      </x:c>
      <x:c r="H93" t="inlineStr">
        <x:is>
          <x:t xml:space="preserve">overcast clouds</x:t>
        </x:is>
      </x:c>
      <x:c r="I93" s="3" t="n">
        <x:v>15.2</x:v>
      </x:c>
    </x:row>
    <x:row r="94">
      <x:c r="A94" t="n">
        <x:v>93</x:v>
      </x:c>
      <x:c r="B94" s="2" t="n">
        <x:v>45850.50694444445</x:v>
      </x:c>
      <x:c r="C94" t="inlineStr">
        <x:is>
          <x:t xml:space="preserve">Lisbon</x:t>
        </x:is>
      </x:c>
      <x:c r="D94" s="3" t="n">
        <x:v>20</x:v>
      </x:c>
      <x:c r="E94" s="3" t="n">
        <x:v>19</x:v>
      </x:c>
      <x:c r="F94" s="4" t="n">
        <x:v>53</x:v>
      </x:c>
      <x:c r="G94" s="4" t="n">
        <x:v>1004</x:v>
      </x:c>
      <x:c r="H94" t="inlineStr">
        <x:is>
          <x:t xml:space="preserve">moderate rain</x:t>
        </x:is>
      </x:c>
      <x:c r="I94" s="3" t="n">
        <x:v>18.9</x:v>
      </x:c>
    </x:row>
    <x:row r="95">
      <x:c r="A95" t="n">
        <x:v>94</x:v>
      </x:c>
      <x:c r="B95" s="2" t="n">
        <x:v>45851.25</x:v>
      </x:c>
      <x:c r="C95" t="inlineStr">
        <x:is>
          <x:t xml:space="preserve">Lisbon</x:t>
        </x:is>
      </x:c>
      <x:c r="D95" s="3" t="n">
        <x:v>24.2</x:v>
      </x:c>
      <x:c r="E95" s="3" t="n">
        <x:v>23.1</x:v>
      </x:c>
      <x:c r="F95" s="4" t="n">
        <x:v>55</x:v>
      </x:c>
      <x:c r="G95" s="4" t="n">
        <x:v>1004</x:v>
      </x:c>
      <x:c r="H95" t="inlineStr">
        <x:is>
          <x:t xml:space="preserve">clear sky</x:t>
        </x:is>
      </x:c>
      <x:c r="I95" s="3" t="n">
        <x:v>25</x:v>
      </x:c>
    </x:row>
    <x:row r="96">
      <x:c r="A96" t="n">
        <x:v>95</x:v>
      </x:c>
      <x:c r="B96" s="2" t="n">
        <x:v>45852.5625</x:v>
      </x:c>
      <x:c r="C96" t="inlineStr">
        <x:is>
          <x:t xml:space="preserve">Lisbon</x:t>
        </x:is>
      </x:c>
      <x:c r="D96" s="3" t="n">
        <x:v>22.4</x:v>
      </x:c>
      <x:c r="E96" s="3" t="n">
        <x:v>22.1</x:v>
      </x:c>
      <x:c r="F96" s="4" t="n">
        <x:v>63</x:v>
      </x:c>
      <x:c r="G96" s="4" t="n">
        <x:v>1005</x:v>
      </x:c>
      <x:c r="H96" t="inlineStr">
        <x:is>
          <x:t xml:space="preserve">drizzle</x:t>
        </x:is>
      </x:c>
      <x:c r="I96" s="3" t="n">
        <x:v>24</x:v>
      </x:c>
    </x:row>
    <x:row r="97">
      <x:c r="A97" t="n">
        <x:v>96</x:v>
      </x:c>
      <x:c r="B97" s="2" t="n">
        <x:v>45853.35416666666</x:v>
      </x:c>
      <x:c r="C97" t="inlineStr">
        <x:is>
          <x:t xml:space="preserve">Lisbon</x:t>
        </x:is>
      </x:c>
      <x:c r="D97" s="3" t="n">
        <x:v>19.6</x:v>
      </x:c>
      <x:c r="E97" s="3" t="n">
        <x:v>20.3</x:v>
      </x:c>
      <x:c r="F97" s="4" t="n">
        <x:v>71</x:v>
      </x:c>
      <x:c r="G97" s="4" t="n">
        <x:v>1017</x:v>
      </x:c>
      <x:c r="H97" t="inlineStr">
        <x:is>
          <x:t xml:space="preserve">clear sky</x:t>
        </x:is>
      </x:c>
      <x:c r="I97" s="3" t="n">
        <x:v>15</x:v>
      </x:c>
    </x:row>
    <x:row r="98">
      <x:c r="A98" t="n">
        <x:v>97</x:v>
      </x:c>
      <x:c r="B98" s="2" t="n">
        <x:v>45854.82638888889</x:v>
      </x:c>
      <x:c r="C98" t="inlineStr">
        <x:is>
          <x:t xml:space="preserve">Lisbon</x:t>
        </x:is>
      </x:c>
      <x:c r="D98" s="3" t="n">
        <x:v>24.2</x:v>
      </x:c>
      <x:c r="E98" s="3" t="n">
        <x:v>25.4</x:v>
      </x:c>
      <x:c r="F98" s="4" t="n">
        <x:v>54</x:v>
      </x:c>
      <x:c r="G98" s="4" t="n">
        <x:v>1012</x:v>
      </x:c>
      <x:c r="H98" t="inlineStr">
        <x:is>
          <x:t xml:space="preserve">clear sky</x:t>
        </x:is>
      </x:c>
      <x:c r="I98" s="3" t="n">
        <x:v>16.5</x:v>
      </x:c>
    </x:row>
    <x:row r="99">
      <x:c r="A99" t="n">
        <x:v>98</x:v>
      </x:c>
      <x:c r="B99" s="2" t="n">
        <x:v>45855.53472222222</x:v>
      </x:c>
      <x:c r="C99" t="inlineStr">
        <x:is>
          <x:t xml:space="preserve">Lisbon</x:t>
        </x:is>
      </x:c>
      <x:c r="D99" s="3" t="n">
        <x:v>21.1</x:v>
      </x:c>
      <x:c r="E99" s="3" t="n">
        <x:v>21.7</x:v>
      </x:c>
      <x:c r="F99" s="4" t="n">
        <x:v>56</x:v>
      </x:c>
      <x:c r="G99" s="4" t="n">
        <x:v>1010</x:v>
      </x:c>
      <x:c r="H99" t="inlineStr">
        <x:is>
          <x:t xml:space="preserve">scattered clouds</x:t>
        </x:is>
      </x:c>
      <x:c r="I99" s="3" t="n">
        <x:v>14.8</x:v>
      </x:c>
    </x:row>
    <x:row r="100">
      <x:c r="A100" t="n">
        <x:v>99</x:v>
      </x:c>
      <x:c r="B100" s="2" t="n">
        <x:v>45856.77083333334</x:v>
      </x:c>
      <x:c r="C100" t="inlineStr">
        <x:is>
          <x:t xml:space="preserve">Lisbon</x:t>
        </x:is>
      </x:c>
      <x:c r="D100" s="3" t="n">
        <x:v>23.8</x:v>
      </x:c>
      <x:c r="E100" s="3" t="n">
        <x:v>22.9</x:v>
      </x:c>
      <x:c r="F100" s="4" t="n">
        <x:v>47</x:v>
      </x:c>
      <x:c r="G100" s="4" t="n">
        <x:v>1016</x:v>
      </x:c>
      <x:c r="H100" t="inlineStr">
        <x:is>
          <x:t xml:space="preserve">clear sky</x:t>
        </x:is>
      </x:c>
      <x:c r="I100" s="3" t="n">
        <x:v>17.4</x:v>
      </x:c>
    </x:row>
    <x:row r="101">
      <x:c r="A101" t="n">
        <x:v>100</x:v>
      </x:c>
      <x:c r="B101" s="2" t="n">
        <x:v>45857.75694444445</x:v>
      </x:c>
      <x:c r="C101" t="inlineStr">
        <x:is>
          <x:t xml:space="preserve">Lisbon</x:t>
        </x:is>
      </x:c>
      <x:c r="D101" s="3" t="n">
        <x:v>28.2</x:v>
      </x:c>
      <x:c r="E101" s="3" t="n">
        <x:v>29.4</x:v>
      </x:c>
      <x:c r="F101" s="4" t="n">
        <x:v>55</x:v>
      </x:c>
      <x:c r="G101" s="4" t="n">
        <x:v>1013</x:v>
      </x:c>
      <x:c r="H101" t="inlineStr">
        <x:is>
          <x:t xml:space="preserve">clear sky</x:t>
        </x:is>
      </x:c>
      <x:c r="I101" s="3" t="n">
        <x:v>14.8</x:v>
      </x:c>
    </x:row>
    <x:row r="102">
      <x:c r="A102" t="n">
        <x:v>101</x:v>
      </x:c>
      <x:c r="B102" s="2" t="n">
        <x:v>45858.45138888889</x:v>
      </x:c>
      <x:c r="C102" t="inlineStr">
        <x:is>
          <x:t xml:space="preserve">Lisbon</x:t>
        </x:is>
      </x:c>
      <x:c r="D102" s="3" t="n">
        <x:v>23.1</x:v>
      </x:c>
      <x:c r="E102" s="3" t="n">
        <x:v>22.5</x:v>
      </x:c>
      <x:c r="F102" s="4" t="n">
        <x:v>54</x:v>
      </x:c>
      <x:c r="G102" s="4" t="n">
        <x:v>1019</x:v>
      </x:c>
      <x:c r="H102" t="inlineStr">
        <x:is>
          <x:t xml:space="preserve">clear sky</x:t>
        </x:is>
      </x:c>
      <x:c r="I102" s="3" t="n">
        <x:v>18</x:v>
      </x:c>
    </x:row>
    <x:row r="103">
      <x:c r="A103" t="n">
        <x:v>102</x:v>
      </x:c>
      <x:c r="B103" s="2" t="n">
        <x:v>45860.25</x:v>
      </x:c>
      <x:c r="C103" t="inlineStr">
        <x:is>
          <x:t xml:space="preserve">Lisbon</x:t>
        </x:is>
      </x:c>
      <x:c r="D103" s="3" t="n">
        <x:v>24</x:v>
      </x:c>
      <x:c r="E103" s="3" t="n">
        <x:v>25</x:v>
      </x:c>
      <x:c r="F103" s="4" t="n">
        <x:v>45</x:v>
      </x:c>
      <x:c r="G103" s="4" t="n">
        <x:v>1012</x:v>
      </x:c>
      <x:c r="H103" t="inlineStr">
        <x:is>
          <x:t xml:space="preserve">few clouds</x:t>
        </x:is>
      </x:c>
      <x:c r="I103" s="3" t="n">
        <x:v>18</x:v>
      </x:c>
    </x:row>
    <x:row r="104">
      <x:c r="A104" t="n">
        <x:v>103</x:v>
      </x:c>
      <x:c r="B104" s="2" t="n">
        <x:v>45861.79861111111</x:v>
      </x:c>
      <x:c r="C104" t="inlineStr">
        <x:is>
          <x:t xml:space="preserve">Lisbon</x:t>
        </x:is>
      </x:c>
      <x:c r="D104" s="3" t="n">
        <x:v>22.9</x:v>
      </x:c>
      <x:c r="E104" s="3" t="n">
        <x:v>22.9</x:v>
      </x:c>
      <x:c r="F104" s="4" t="n">
        <x:v>56</x:v>
      </x:c>
      <x:c r="G104" s="4" t="n">
        <x:v>1017</x:v>
      </x:c>
      <x:c r="H104" t="inlineStr">
        <x:is>
          <x:t xml:space="preserve">clear sky</x:t>
        </x:is>
      </x:c>
      <x:c r="I104" s="3" t="n">
        <x:v>14.5</x:v>
      </x:c>
    </x:row>
    <x:row r="105">
      <x:c r="A105" t="n">
        <x:v>104</x:v>
      </x:c>
      <x:c r="B105" s="2" t="n">
        <x:v>45862.49305555555</x:v>
      </x:c>
      <x:c r="C105" t="inlineStr">
        <x:is>
          <x:t xml:space="preserve">Lisbon</x:t>
        </x:is>
      </x:c>
      <x:c r="D105" s="3" t="n">
        <x:v>22.6</x:v>
      </x:c>
      <x:c r="E105" s="3" t="n">
        <x:v>22.7</x:v>
      </x:c>
      <x:c r="F105" s="4" t="n">
        <x:v>53</x:v>
      </x:c>
      <x:c r="G105" s="4" t="n">
        <x:v>1011</x:v>
      </x:c>
      <x:c r="H105" t="inlineStr">
        <x:is>
          <x:t xml:space="preserve">clear sky</x:t>
        </x:is>
      </x:c>
      <x:c r="I105" s="3" t="n">
        <x:v>18.9</x:v>
      </x:c>
    </x:row>
    <x:row r="106">
      <x:c r="A106" t="n">
        <x:v>105</x:v>
      </x:c>
      <x:c r="B106" s="2" t="n">
        <x:v>45863.83333333334</x:v>
      </x:c>
      <x:c r="C106" t="inlineStr">
        <x:is>
          <x:t xml:space="preserve">Lisbon</x:t>
        </x:is>
      </x:c>
      <x:c r="D106" s="3" t="n">
        <x:v>25.3</x:v>
      </x:c>
      <x:c r="E106" s="3" t="n">
        <x:v>24.6</x:v>
      </x:c>
      <x:c r="F106" s="4" t="n">
        <x:v>70</x:v>
      </x:c>
      <x:c r="G106" s="4" t="n">
        <x:v>1007</x:v>
      </x:c>
      <x:c r="H106" t="inlineStr">
        <x:is>
          <x:t xml:space="preserve">overcast clouds</x:t>
        </x:is>
      </x:c>
      <x:c r="I106" s="3" t="n">
        <x:v>16.4</x:v>
      </x:c>
    </x:row>
    <x:row r="107">
      <x:c r="A107" t="n">
        <x:v>106</x:v>
      </x:c>
      <x:c r="B107" s="2" t="n">
        <x:v>45864.54166666666</x:v>
      </x:c>
      <x:c r="C107" t="inlineStr">
        <x:is>
          <x:t xml:space="preserve">Lisbon</x:t>
        </x:is>
      </x:c>
      <x:c r="D107" s="3" t="n">
        <x:v>21.7</x:v>
      </x:c>
      <x:c r="E107" s="3" t="n">
        <x:v>22.1</x:v>
      </x:c>
      <x:c r="F107" s="4" t="n">
        <x:v>64</x:v>
      </x:c>
      <x:c r="G107" s="4" t="n">
        <x:v>1008</x:v>
      </x:c>
      <x:c r="H107" t="inlineStr">
        <x:is>
          <x:t xml:space="preserve">moderate rain</x:t>
        </x:is>
      </x:c>
      <x:c r="I107" s="3" t="n">
        <x:v>26.9</x:v>
      </x:c>
    </x:row>
    <x:row r="108">
      <x:c r="A108" t="n">
        <x:v>107</x:v>
      </x:c>
      <x:c r="B108" s="2" t="n">
        <x:v>45865.84027777778</x:v>
      </x:c>
      <x:c r="C108" t="inlineStr">
        <x:is>
          <x:t xml:space="preserve">Lisbon</x:t>
        </x:is>
      </x:c>
      <x:c r="D108" s="3" t="n">
        <x:v>28.7</x:v>
      </x:c>
      <x:c r="E108" s="3" t="n">
        <x:v>28.9</x:v>
      </x:c>
      <x:c r="F108" s="4" t="n">
        <x:v>41</x:v>
      </x:c>
      <x:c r="G108" s="4" t="n">
        <x:v>1011</x:v>
      </x:c>
      <x:c r="H108" t="inlineStr">
        <x:is>
          <x:t xml:space="preserve">few clouds</x:t>
        </x:is>
      </x:c>
      <x:c r="I108" s="3" t="n">
        <x:v>12.7</x:v>
      </x:c>
    </x:row>
    <x:row r="109">
      <x:c r="A109" t="n">
        <x:v>108</x:v>
      </x:c>
      <x:c r="B109" s="2" t="n">
        <x:v>45866.86805555555</x:v>
      </x:c>
      <x:c r="C109" t="inlineStr">
        <x:is>
          <x:t xml:space="preserve">Lisbon</x:t>
        </x:is>
      </x:c>
      <x:c r="D109" s="3" t="n">
        <x:v>29</x:v>
      </x:c>
      <x:c r="E109" s="3" t="n">
        <x:v>29.5</x:v>
      </x:c>
      <x:c r="F109" s="4" t="n">
        <x:v>50</x:v>
      </x:c>
      <x:c r="G109" s="4" t="n">
        <x:v>1007</x:v>
      </x:c>
      <x:c r="H109" t="inlineStr">
        <x:is>
          <x:t xml:space="preserve">broken clouds</x:t>
        </x:is>
      </x:c>
      <x:c r="I109" s="3" t="n">
        <x:v>17.4</x:v>
      </x:c>
    </x:row>
    <x:row r="110">
      <x:c r="A110" t="n">
        <x:v>109</x:v>
      </x:c>
      <x:c r="B110" s="2" t="n">
        <x:v>45868.6875</x:v>
      </x:c>
      <x:c r="C110" t="inlineStr">
        <x:is>
          <x:t xml:space="preserve">Lisbon</x:t>
        </x:is>
      </x:c>
      <x:c r="D110" s="3" t="n">
        <x:v>23.3</x:v>
      </x:c>
      <x:c r="E110" s="3" t="n">
        <x:v>23.7</x:v>
      </x:c>
      <x:c r="F110" s="4" t="n">
        <x:v>64</x:v>
      </x:c>
      <x:c r="G110" s="4" t="n">
        <x:v>1016</x:v>
      </x:c>
      <x:c r="H110" t="inlineStr">
        <x:is>
          <x:t xml:space="preserve">clear sky</x:t>
        </x:is>
      </x:c>
      <x:c r="I110" s="3" t="n">
        <x:v>15.9</x:v>
      </x:c>
    </x:row>
    <x:row r="111">
      <x:c r="A111" t="n">
        <x:v>110</x:v>
      </x:c>
      <x:c r="B111" s="2" t="n">
        <x:v>45869.81944444445</x:v>
      </x:c>
      <x:c r="C111" t="inlineStr">
        <x:is>
          <x:t xml:space="preserve">Lisbon</x:t>
        </x:is>
      </x:c>
      <x:c r="D111" s="3" t="n">
        <x:v>28.6</x:v>
      </x:c>
      <x:c r="E111" s="3" t="n">
        <x:v>29.2</x:v>
      </x:c>
      <x:c r="F111" s="4" t="n">
        <x:v>49</x:v>
      </x:c>
      <x:c r="G111" s="4" t="n">
        <x:v>1014</x:v>
      </x:c>
      <x:c r="H111" t="inlineStr">
        <x:is>
          <x:t xml:space="preserve">scattered clouds</x:t>
        </x:is>
      </x:c>
      <x:c r="I111" s="3" t="n">
        <x:v>15.1</x:v>
      </x:c>
    </x:row>
    <x:row r="112">
      <x:c r="A112" t="n">
        <x:v>111</x:v>
      </x:c>
      <x:c r="B112" s="2" t="n">
        <x:v>45870.84027777778</x:v>
      </x:c>
      <x:c r="C112" t="inlineStr">
        <x:is>
          <x:t xml:space="preserve">Lisbon</x:t>
        </x:is>
      </x:c>
      <x:c r="D112" s="3" t="n">
        <x:v>27</x:v>
      </x:c>
      <x:c r="E112" s="3" t="n">
        <x:v>27.6</x:v>
      </x:c>
      <x:c r="F112" s="4" t="n">
        <x:v>38</x:v>
      </x:c>
      <x:c r="G112" s="4" t="n">
        <x:v>1016</x:v>
      </x:c>
      <x:c r="H112" t="inlineStr">
        <x:is>
          <x:t xml:space="preserve">clear sky</x:t>
        </x:is>
      </x:c>
      <x:c r="I112" s="3" t="n">
        <x:v>12.1</x:v>
      </x:c>
    </x:row>
    <x:row r="113">
      <x:c r="A113" t="n">
        <x:v>112</x:v>
      </x:c>
      <x:c r="B113" s="2" t="n">
        <x:v>45871.89583333334</x:v>
      </x:c>
      <x:c r="C113" t="inlineStr">
        <x:is>
          <x:t xml:space="preserve">Lisbon</x:t>
        </x:is>
      </x:c>
      <x:c r="D113" s="3" t="n">
        <x:v>26</x:v>
      </x:c>
      <x:c r="E113" s="3" t="n">
        <x:v>26.5</x:v>
      </x:c>
      <x:c r="F113" s="4" t="n">
        <x:v>63</x:v>
      </x:c>
      <x:c r="G113" s="4" t="n">
        <x:v>1006</x:v>
      </x:c>
      <x:c r="H113" t="inlineStr">
        <x:is>
          <x:t xml:space="preserve">broken clouds</x:t>
        </x:is>
      </x:c>
      <x:c r="I113" s="3" t="n">
        <x:v>23.5</x:v>
      </x:c>
    </x:row>
    <x:row r="114">
      <x:c r="A114" t="n">
        <x:v>113</x:v>
      </x:c>
      <x:c r="B114" s="2" t="n">
        <x:v>45872.59027777778</x:v>
      </x:c>
      <x:c r="C114" t="inlineStr">
        <x:is>
          <x:t xml:space="preserve">Lisbon</x:t>
        </x:is>
      </x:c>
      <x:c r="D114" s="3" t="n">
        <x:v>24.7</x:v>
      </x:c>
      <x:c r="E114" s="3" t="n">
        <x:v>23.8</x:v>
      </x:c>
      <x:c r="F114" s="4" t="n">
        <x:v>62</x:v>
      </x:c>
      <x:c r="G114" s="4" t="n">
        <x:v>1012</x:v>
      </x:c>
      <x:c r="H114" t="inlineStr">
        <x:is>
          <x:t xml:space="preserve">few clouds</x:t>
        </x:is>
      </x:c>
      <x:c r="I114" s="3" t="n">
        <x:v>15.6</x:v>
      </x:c>
    </x:row>
    <x:row r="115">
      <x:c r="A115" t="n">
        <x:v>114</x:v>
      </x:c>
      <x:c r="B115" s="2" t="n">
        <x:v>45873.61111111111</x:v>
      </x:c>
      <x:c r="C115" t="inlineStr">
        <x:is>
          <x:t xml:space="preserve">Lisbon</x:t>
        </x:is>
      </x:c>
      <x:c r="D115" s="3" t="n">
        <x:v>21</x:v>
      </x:c>
      <x:c r="E115" s="3" t="n">
        <x:v>20.1</x:v>
      </x:c>
      <x:c r="F115" s="4" t="n">
        <x:v>69</x:v>
      </x:c>
      <x:c r="G115" s="4" t="n">
        <x:v>1010</x:v>
      </x:c>
      <x:c r="H115" t="inlineStr">
        <x:is>
          <x:t xml:space="preserve">drizzle</x:t>
        </x:is>
      </x:c>
      <x:c r="I115" s="3" t="n">
        <x:v>14.8</x:v>
      </x:c>
    </x:row>
    <x:row r="116">
      <x:c r="A116" t="n">
        <x:v>115</x:v>
      </x:c>
      <x:c r="B116" s="2" t="n">
        <x:v>45874.90972222222</x:v>
      </x:c>
      <x:c r="C116" t="inlineStr">
        <x:is>
          <x:t xml:space="preserve">Lisbon</x:t>
        </x:is>
      </x:c>
      <x:c r="D116" s="3" t="n">
        <x:v>25.5</x:v>
      </x:c>
      <x:c r="E116" s="3" t="n">
        <x:v>24.7</x:v>
      </x:c>
      <x:c r="F116" s="4" t="n">
        <x:v>55</x:v>
      </x:c>
      <x:c r="G116" s="4" t="n">
        <x:v>1013</x:v>
      </x:c>
      <x:c r="H116" t="inlineStr">
        <x:is>
          <x:t xml:space="preserve">clear sky</x:t>
        </x:is>
      </x:c>
      <x:c r="I116" s="3" t="n">
        <x:v>12.9</x:v>
      </x:c>
    </x:row>
    <x:row r="117">
      <x:c r="A117" t="n">
        <x:v>116</x:v>
      </x:c>
      <x:c r="B117" s="2" t="n">
        <x:v>45875.55555555555</x:v>
      </x:c>
      <x:c r="C117" t="inlineStr">
        <x:is>
          <x:t xml:space="preserve">Lisbon</x:t>
        </x:is>
      </x:c>
      <x:c r="D117" s="3" t="n">
        <x:v>22.2</x:v>
      </x:c>
      <x:c r="E117" s="3" t="n">
        <x:v>21.6</x:v>
      </x:c>
      <x:c r="F117" s="4" t="n">
        <x:v>66</x:v>
      </x:c>
      <x:c r="G117" s="4" t="n">
        <x:v>1006</x:v>
      </x:c>
      <x:c r="H117" t="inlineStr">
        <x:is>
          <x:t xml:space="preserve">broken clouds</x:t>
        </x:is>
      </x:c>
      <x:c r="I117" s="3" t="n">
        <x:v>19.4</x:v>
      </x:c>
    </x:row>
    <x:row r="118">
      <x:c r="A118" t="n">
        <x:v>117</x:v>
      </x:c>
      <x:c r="B118" s="2" t="n">
        <x:v>45876.83333333334</x:v>
      </x:c>
      <x:c r="C118" t="inlineStr">
        <x:is>
          <x:t xml:space="preserve">Lisbon</x:t>
        </x:is>
      </x:c>
      <x:c r="D118" s="3" t="n">
        <x:v>27</x:v>
      </x:c>
      <x:c r="E118" s="3" t="n">
        <x:v>28.1</x:v>
      </x:c>
      <x:c r="F118" s="4" t="n">
        <x:v>64</x:v>
      </x:c>
      <x:c r="G118" s="4" t="n">
        <x:v>1004</x:v>
      </x:c>
      <x:c r="H118" t="inlineStr">
        <x:is>
          <x:t xml:space="preserve">drizzle</x:t>
        </x:is>
      </x:c>
      <x:c r="I118" s="3" t="n">
        <x:v>18.2</x:v>
      </x:c>
    </x:row>
    <x:row r="119">
      <x:c r="A119" t="n">
        <x:v>118</x:v>
      </x:c>
      <x:c r="B119" s="2" t="n">
        <x:v>45877.63194444445</x:v>
      </x:c>
      <x:c r="C119" t="inlineStr">
        <x:is>
          <x:t xml:space="preserve">Lisbon</x:t>
        </x:is>
      </x:c>
      <x:c r="D119" s="3" t="n">
        <x:v>24.3</x:v>
      </x:c>
      <x:c r="E119" s="3" t="n">
        <x:v>23.2</x:v>
      </x:c>
      <x:c r="F119" s="4" t="n">
        <x:v>57</x:v>
      </x:c>
      <x:c r="G119" s="4" t="n">
        <x:v>1006</x:v>
      </x:c>
      <x:c r="H119" t="inlineStr">
        <x:is>
          <x:t xml:space="preserve">few clouds</x:t>
        </x:is>
      </x:c>
      <x:c r="I119" s="3" t="n">
        <x:v>19.7</x:v>
      </x:c>
    </x:row>
    <x:row r="120">
      <x:c r="A120" t="n">
        <x:v>119</x:v>
      </x:c>
      <x:c r="B120" s="2" t="n">
        <x:v>45878.59722222222</x:v>
      </x:c>
      <x:c r="C120" t="inlineStr">
        <x:is>
          <x:t xml:space="preserve">Lisbon</x:t>
        </x:is>
      </x:c>
      <x:c r="D120" s="3" t="n">
        <x:v>22.8</x:v>
      </x:c>
      <x:c r="E120" s="3" t="n">
        <x:v>23.1</x:v>
      </x:c>
      <x:c r="F120" s="4" t="n">
        <x:v>51</x:v>
      </x:c>
      <x:c r="G120" s="4" t="n">
        <x:v>1015</x:v>
      </x:c>
      <x:c r="H120" t="inlineStr">
        <x:is>
          <x:t xml:space="preserve">clear sky</x:t>
        </x:is>
      </x:c>
      <x:c r="I120" s="3" t="n">
        <x:v>13.7</x:v>
      </x:c>
    </x:row>
    <x:row r="121">
      <x:c r="A121" t="n">
        <x:v>120</x:v>
      </x:c>
      <x:c r="B121" s="2" t="n">
        <x:v>45879.69444444445</x:v>
      </x:c>
      <x:c r="C121" t="inlineStr">
        <x:is>
          <x:t xml:space="preserve">Lisbon</x:t>
        </x:is>
      </x:c>
      <x:c r="D121" s="3" t="n">
        <x:v>23.8</x:v>
      </x:c>
      <x:c r="E121" s="3" t="n">
        <x:v>24.2</x:v>
      </x:c>
      <x:c r="F121" s="4" t="n">
        <x:v>48</x:v>
      </x:c>
      <x:c r="G121" s="4" t="n">
        <x:v>1013</x:v>
      </x:c>
      <x:c r="H121" t="inlineStr">
        <x:is>
          <x:t xml:space="preserve">clear sky</x:t>
        </x:is>
      </x:c>
      <x:c r="I121" s="3" t="n">
        <x:v>19.7</x:v>
      </x:c>
    </x:row>
    <x:row r="122">
      <x:c r="A122" t="n">
        <x:v>121</x:v>
      </x:c>
      <x:c r="B122" s="2" t="n">
        <x:v>45880.34027777778</x:v>
      </x:c>
      <x:c r="C122" t="inlineStr">
        <x:is>
          <x:t xml:space="preserve">Lisbon</x:t>
        </x:is>
      </x:c>
      <x:c r="D122" s="3" t="n">
        <x:v>20.5</x:v>
      </x:c>
      <x:c r="E122" s="3" t="n">
        <x:v>20.6</x:v>
      </x:c>
      <x:c r="F122" s="4" t="n">
        <x:v>80</x:v>
      </x:c>
      <x:c r="G122" s="4" t="n">
        <x:v>1001</x:v>
      </x:c>
      <x:c r="H122" t="inlineStr">
        <x:is>
          <x:t xml:space="preserve">moderate rain</x:t>
        </x:is>
      </x:c>
      <x:c r="I122" s="3" t="n">
        <x:v>23.7</x:v>
      </x:c>
    </x:row>
    <x:row r="123">
      <x:c r="A123" t="n">
        <x:v>122</x:v>
      </x:c>
      <x:c r="B123" s="2" t="n">
        <x:v>45881.42361111111</x:v>
      </x:c>
      <x:c r="C123" t="inlineStr">
        <x:is>
          <x:t xml:space="preserve">Lisbon</x:t>
        </x:is>
      </x:c>
      <x:c r="D123" s="3" t="n">
        <x:v>24.2</x:v>
      </x:c>
      <x:c r="E123" s="3" t="n">
        <x:v>25</x:v>
      </x:c>
      <x:c r="F123" s="4" t="n">
        <x:v>63</x:v>
      </x:c>
      <x:c r="G123" s="4" t="n">
        <x:v>1018</x:v>
      </x:c>
      <x:c r="H123" t="inlineStr">
        <x:is>
          <x:t xml:space="preserve">scattered clouds</x:t>
        </x:is>
      </x:c>
      <x:c r="I123" s="3" t="n">
        <x:v>16.6</x:v>
      </x:c>
    </x:row>
    <x:row r="124">
      <x:c r="A124" t="n">
        <x:v>123</x:v>
      </x:c>
      <x:c r="B124" s="2" t="n">
        <x:v>45882.78472222222</x:v>
      </x:c>
      <x:c r="C124" t="inlineStr">
        <x:is>
          <x:t xml:space="preserve">Lisbon</x:t>
        </x:is>
      </x:c>
      <x:c r="D124" s="3" t="n">
        <x:v>22.5</x:v>
      </x:c>
      <x:c r="E124" s="3" t="n">
        <x:v>23.1</x:v>
      </x:c>
      <x:c r="F124" s="4" t="n">
        <x:v>68</x:v>
      </x:c>
      <x:c r="G124" s="4" t="n">
        <x:v>1007</x:v>
      </x:c>
      <x:c r="H124" t="inlineStr">
        <x:is>
          <x:t xml:space="preserve">light rain</x:t>
        </x:is>
      </x:c>
      <x:c r="I124" s="3" t="n">
        <x:v>16.7</x:v>
      </x:c>
    </x:row>
    <x:row r="125">
      <x:c r="A125" t="n">
        <x:v>124</x:v>
      </x:c>
      <x:c r="B125" s="2" t="n">
        <x:v>45883.45138888889</x:v>
      </x:c>
      <x:c r="C125" t="inlineStr">
        <x:is>
          <x:t xml:space="preserve">Lisbon</x:t>
        </x:is>
      </x:c>
      <x:c r="D125" s="3" t="n">
        <x:v>26.6</x:v>
      </x:c>
      <x:c r="E125" s="3" t="n">
        <x:v>26.5</x:v>
      </x:c>
      <x:c r="F125" s="4" t="n">
        <x:v>59</x:v>
      </x:c>
      <x:c r="G125" s="4" t="n">
        <x:v>1014</x:v>
      </x:c>
      <x:c r="H125" t="inlineStr">
        <x:is>
          <x:t xml:space="preserve">clear sky</x:t>
        </x:is>
      </x:c>
      <x:c r="I125" s="3" t="n">
        <x:v>16.1</x:v>
      </x:c>
    </x:row>
    <x:row r="126">
      <x:c r="A126" t="n">
        <x:v>125</x:v>
      </x:c>
      <x:c r="B126" s="2" t="n">
        <x:v>45884.5</x:v>
      </x:c>
      <x:c r="C126" t="inlineStr">
        <x:is>
          <x:t xml:space="preserve">Lisbon</x:t>
        </x:is>
      </x:c>
      <x:c r="D126" s="3" t="n">
        <x:v>22</x:v>
      </x:c>
      <x:c r="E126" s="3" t="n">
        <x:v>21</x:v>
      </x:c>
      <x:c r="F126" s="4" t="n">
        <x:v>53</x:v>
      </x:c>
      <x:c r="G126" s="4" t="n">
        <x:v>1005</x:v>
      </x:c>
      <x:c r="H126" t="inlineStr">
        <x:is>
          <x:t xml:space="preserve">few clouds</x:t>
        </x:is>
      </x:c>
      <x:c r="I126" s="3" t="n">
        <x:v>22.4</x:v>
      </x:c>
    </x:row>
    <x:row r="127">
      <x:c r="A127" t="n">
        <x:v>126</x:v>
      </x:c>
      <x:c r="B127" s="2" t="n">
        <x:v>45885.8125</x:v>
      </x:c>
      <x:c r="C127" t="inlineStr">
        <x:is>
          <x:t xml:space="preserve">Lisbon</x:t>
        </x:is>
      </x:c>
      <x:c r="D127" s="3" t="n">
        <x:v>27</x:v>
      </x:c>
      <x:c r="E127" s="3" t="n">
        <x:v>27.8</x:v>
      </x:c>
      <x:c r="F127" s="4" t="n">
        <x:v>59</x:v>
      </x:c>
      <x:c r="G127" s="4" t="n">
        <x:v>1015</x:v>
      </x:c>
      <x:c r="H127" t="inlineStr">
        <x:is>
          <x:t xml:space="preserve">clear sky</x:t>
        </x:is>
      </x:c>
      <x:c r="I127" s="3" t="n">
        <x:v>15.5</x:v>
      </x:c>
    </x:row>
    <x:row r="128">
      <x:c r="A128" t="n">
        <x:v>127</x:v>
      </x:c>
      <x:c r="B128" s="2" t="n">
        <x:v>45886.69444444445</x:v>
      </x:c>
      <x:c r="C128" t="inlineStr">
        <x:is>
          <x:t xml:space="preserve">Lisbon</x:t>
        </x:is>
      </x:c>
      <x:c r="D128" s="3" t="n">
        <x:v>27</x:v>
      </x:c>
      <x:c r="E128" s="3" t="n">
        <x:v>26</x:v>
      </x:c>
      <x:c r="F128" s="4" t="n">
        <x:v>54</x:v>
      </x:c>
      <x:c r="G128" s="4" t="n">
        <x:v>1011</x:v>
      </x:c>
      <x:c r="H128" t="inlineStr">
        <x:is>
          <x:t xml:space="preserve">clear sky</x:t>
        </x:is>
      </x:c>
      <x:c r="I128" s="3" t="n">
        <x:v>14.9</x:v>
      </x:c>
    </x:row>
    <x:row r="129">
      <x:c r="A129" t="n">
        <x:v>128</x:v>
      </x:c>
      <x:c r="B129" s="2" t="n">
        <x:v>45887.85416666666</x:v>
      </x:c>
      <x:c r="C129" t="inlineStr">
        <x:is>
          <x:t xml:space="preserve">Lisbon</x:t>
        </x:is>
      </x:c>
      <x:c r="D129" s="3" t="n">
        <x:v>27.7</x:v>
      </x:c>
      <x:c r="E129" s="3" t="n">
        <x:v>28.8</x:v>
      </x:c>
      <x:c r="F129" s="4" t="n">
        <x:v>59</x:v>
      </x:c>
      <x:c r="G129" s="4" t="n">
        <x:v>1005</x:v>
      </x:c>
      <x:c r="H129" t="inlineStr">
        <x:is>
          <x:t xml:space="preserve">few clouds</x:t>
        </x:is>
      </x:c>
      <x:c r="I129" s="3" t="n">
        <x:v>19.2</x:v>
      </x:c>
    </x:row>
    <x:row r="130">
      <x:c r="A130" t="n">
        <x:v>129</x:v>
      </x:c>
      <x:c r="B130" s="2" t="n">
        <x:v>45888.29861111111</x:v>
      </x:c>
      <x:c r="C130" t="inlineStr">
        <x:is>
          <x:t xml:space="preserve">Lisbon</x:t>
        </x:is>
      </x:c>
      <x:c r="D130" s="3" t="n">
        <x:v>18.9</x:v>
      </x:c>
      <x:c r="E130" s="3" t="n">
        <x:v>19.4</x:v>
      </x:c>
      <x:c r="F130" s="4" t="n">
        <x:v>79</x:v>
      </x:c>
      <x:c r="G130" s="4" t="n">
        <x:v>1010</x:v>
      </x:c>
      <x:c r="H130" t="inlineStr">
        <x:is>
          <x:t xml:space="preserve">drizzle</x:t>
        </x:is>
      </x:c>
      <x:c r="I130" s="3" t="n">
        <x:v>15.7</x:v>
      </x:c>
    </x:row>
    <x:row r="131">
      <x:c r="A131" t="n">
        <x:v>130</x:v>
      </x:c>
      <x:c r="B131" s="2" t="n">
        <x:v>45889.8125</x:v>
      </x:c>
      <x:c r="C131" t="inlineStr">
        <x:is>
          <x:t xml:space="preserve">Lisbon</x:t>
        </x:is>
      </x:c>
      <x:c r="D131" s="3" t="n">
        <x:v>27.3</x:v>
      </x:c>
      <x:c r="E131" s="3" t="n">
        <x:v>28.8</x:v>
      </x:c>
      <x:c r="F131" s="4" t="n">
        <x:v>65</x:v>
      </x:c>
      <x:c r="G131" s="4" t="n">
        <x:v>1014</x:v>
      </x:c>
      <x:c r="H131" t="inlineStr">
        <x:is>
          <x:t xml:space="preserve">clear sky</x:t>
        </x:is>
      </x:c>
      <x:c r="I131" s="3" t="n">
        <x:v>16.8</x:v>
      </x:c>
    </x:row>
    <x:row r="132">
      <x:c r="A132" t="n">
        <x:v>131</x:v>
      </x:c>
      <x:c r="B132" s="2" t="n">
        <x:v>45890.27777777778</x:v>
      </x:c>
      <x:c r="C132" t="inlineStr">
        <x:is>
          <x:t xml:space="preserve">Lisbon</x:t>
        </x:is>
      </x:c>
      <x:c r="D132" s="3" t="n">
        <x:v>23.5</x:v>
      </x:c>
      <x:c r="E132" s="3" t="n">
        <x:v>23.8</x:v>
      </x:c>
      <x:c r="F132" s="4" t="n">
        <x:v>64</x:v>
      </x:c>
      <x:c r="G132" s="4" t="n">
        <x:v>1022</x:v>
      </x:c>
      <x:c r="H132" t="inlineStr">
        <x:is>
          <x:t xml:space="preserve">clear sky</x:t>
        </x:is>
      </x:c>
      <x:c r="I132" s="3" t="n">
        <x:v>15.9</x:v>
      </x:c>
    </x:row>
    <x:row r="133">
      <x:c r="A133" t="n">
        <x:v>132</x:v>
      </x:c>
      <x:c r="B133" s="2" t="n">
        <x:v>45891.77083333334</x:v>
      </x:c>
      <x:c r="C133" t="inlineStr">
        <x:is>
          <x:t xml:space="preserve">Lisbon</x:t>
        </x:is>
      </x:c>
      <x:c r="D133" s="3" t="n">
        <x:v>27.2</x:v>
      </x:c>
      <x:c r="E133" s="3" t="n">
        <x:v>26.5</x:v>
      </x:c>
      <x:c r="F133" s="4" t="n">
        <x:v>62</x:v>
      </x:c>
      <x:c r="G133" s="4" t="n">
        <x:v>1005</x:v>
      </x:c>
      <x:c r="H133" t="inlineStr">
        <x:is>
          <x:t xml:space="preserve">scattered clouds</x:t>
        </x:is>
      </x:c>
      <x:c r="I133" s="3" t="n">
        <x:v>29.9</x:v>
      </x:c>
    </x:row>
    <x:row r="134">
      <x:c r="A134" t="n">
        <x:v>133</x:v>
      </x:c>
      <x:c r="B134" s="2" t="n">
        <x:v>45892.26388888889</x:v>
      </x:c>
      <x:c r="C134" t="inlineStr">
        <x:is>
          <x:t xml:space="preserve">Lisbon</x:t>
        </x:is>
      </x:c>
      <x:c r="D134" s="3" t="n">
        <x:v>22.7</x:v>
      </x:c>
      <x:c r="E134" s="3" t="n">
        <x:v>23.8</x:v>
      </x:c>
      <x:c r="F134" s="4" t="n">
        <x:v>65</x:v>
      </x:c>
      <x:c r="G134" s="4" t="n">
        <x:v>1002</x:v>
      </x:c>
      <x:c r="H134" t="inlineStr">
        <x:is>
          <x:t xml:space="preserve">light rain</x:t>
        </x:is>
      </x:c>
      <x:c r="I134" s="3" t="n">
        <x:v>22.5</x:v>
      </x:c>
    </x:row>
    <x:row r="135">
      <x:c r="A135" t="n">
        <x:v>134</x:v>
      </x:c>
      <x:c r="B135" s="2" t="n">
        <x:v>45893.64583333334</x:v>
      </x:c>
      <x:c r="C135" t="inlineStr">
        <x:is>
          <x:t xml:space="preserve">Lisbon</x:t>
        </x:is>
      </x:c>
      <x:c r="D135" s="3" t="n">
        <x:v>27.2</x:v>
      </x:c>
      <x:c r="E135" s="3" t="n">
        <x:v>27.9</x:v>
      </x:c>
      <x:c r="F135" s="4" t="n">
        <x:v>59</x:v>
      </x:c>
      <x:c r="G135" s="4" t="n">
        <x:v>1013</x:v>
      </x:c>
      <x:c r="H135" t="inlineStr">
        <x:is>
          <x:t xml:space="preserve">clear sky</x:t>
        </x:is>
      </x:c>
      <x:c r="I135" s="3" t="n">
        <x:v>14.4</x:v>
      </x:c>
    </x:row>
    <x:row r="136">
      <x:c r="A136" t="n">
        <x:v>135</x:v>
      </x:c>
      <x:c r="B136" s="2" t="n">
        <x:v>45894.81944444445</x:v>
      </x:c>
      <x:c r="C136" t="inlineStr">
        <x:is>
          <x:t xml:space="preserve">Lisbon</x:t>
        </x:is>
      </x:c>
      <x:c r="D136" s="3" t="n">
        <x:v>26.7</x:v>
      </x:c>
      <x:c r="E136" s="3" t="n">
        <x:v>25.7</x:v>
      </x:c>
      <x:c r="F136" s="4" t="n">
        <x:v>61</x:v>
      </x:c>
      <x:c r="G136" s="4" t="n">
        <x:v>1011</x:v>
      </x:c>
      <x:c r="H136" t="inlineStr">
        <x:is>
          <x:t xml:space="preserve">few clouds</x:t>
        </x:is>
      </x:c>
      <x:c r="I136" s="3" t="n">
        <x:v>15.1</x:v>
      </x:c>
    </x:row>
    <x:row r="137">
      <x:c r="A137" t="n">
        <x:v>136</x:v>
      </x:c>
      <x:c r="B137" s="2" t="n">
        <x:v>45895.5625</x:v>
      </x:c>
      <x:c r="C137" t="inlineStr">
        <x:is>
          <x:t xml:space="preserve">Lisbon</x:t>
        </x:is>
      </x:c>
      <x:c r="D137" s="3" t="n">
        <x:v>25.4</x:v>
      </x:c>
      <x:c r="E137" s="3" t="n">
        <x:v>24.8</x:v>
      </x:c>
      <x:c r="F137" s="4" t="n">
        <x:v>67</x:v>
      </x:c>
      <x:c r="G137" s="4" t="n">
        <x:v>1007</x:v>
      </x:c>
      <x:c r="H137" t="inlineStr">
        <x:is>
          <x:t xml:space="preserve">broken clouds</x:t>
        </x:is>
      </x:c>
      <x:c r="I137" s="3" t="n">
        <x:v>19.8</x:v>
      </x:c>
    </x:row>
    <x:row r="138">
      <x:c r="A138" t="n">
        <x:v>137</x:v>
      </x:c>
      <x:c r="B138" s="2" t="n">
        <x:v>45896.55555555555</x:v>
      </x:c>
      <x:c r="C138" t="inlineStr">
        <x:is>
          <x:t xml:space="preserve">Lisbon</x:t>
        </x:is>
      </x:c>
      <x:c r="D138" s="3" t="n">
        <x:v>21.7</x:v>
      </x:c>
      <x:c r="E138" s="3" t="n">
        <x:v>22</x:v>
      </x:c>
      <x:c r="F138" s="4" t="n">
        <x:v>55</x:v>
      </x:c>
      <x:c r="G138" s="4" t="n">
        <x:v>1016</x:v>
      </x:c>
      <x:c r="H138" t="inlineStr">
        <x:is>
          <x:t xml:space="preserve">scattered clouds</x:t>
        </x:is>
      </x:c>
      <x:c r="I138" s="3" t="n">
        <x:v>15.4</x:v>
      </x:c>
    </x:row>
    <x:row r="139">
      <x:c r="A139" t="n">
        <x:v>138</x:v>
      </x:c>
      <x:c r="B139" s="2" t="n">
        <x:v>45897.8125</x:v>
      </x:c>
      <x:c r="C139" t="inlineStr">
        <x:is>
          <x:t xml:space="preserve">Lisbon</x:t>
        </x:is>
      </x:c>
      <x:c r="D139" s="3" t="n">
        <x:v>32.1</x:v>
      </x:c>
      <x:c r="E139" s="3" t="n">
        <x:v>33</x:v>
      </x:c>
      <x:c r="F139" s="4" t="n">
        <x:v>72</x:v>
      </x:c>
      <x:c r="G139" s="4" t="n">
        <x:v>1012</x:v>
      </x:c>
      <x:c r="H139" t="inlineStr">
        <x:is>
          <x:t xml:space="preserve">drizzle</x:t>
        </x:is>
      </x:c>
      <x:c r="I139" s="3" t="n">
        <x:v>15.8</x:v>
      </x:c>
    </x:row>
    <x:row r="140">
      <x:c r="A140" t="n">
        <x:v>139</x:v>
      </x:c>
      <x:c r="B140" s="2" t="n">
        <x:v>45898.27083333334</x:v>
      </x:c>
      <x:c r="C140" t="inlineStr">
        <x:is>
          <x:t xml:space="preserve">Lisbon</x:t>
        </x:is>
      </x:c>
      <x:c r="D140" s="3" t="n">
        <x:v>21.7</x:v>
      </x:c>
      <x:c r="E140" s="3" t="n">
        <x:v>22</x:v>
      </x:c>
      <x:c r="F140" s="4" t="n">
        <x:v>71</x:v>
      </x:c>
      <x:c r="G140" s="4" t="n">
        <x:v>1009</x:v>
      </x:c>
      <x:c r="H140" t="inlineStr">
        <x:is>
          <x:t xml:space="preserve">clear sky</x:t>
        </x:is>
      </x:c>
      <x:c r="I140" s="3" t="n">
        <x:v>16.2</x:v>
      </x:c>
    </x:row>
    <x:row r="141">
      <x:c r="A141" t="n">
        <x:v>140</x:v>
      </x:c>
      <x:c r="B141" s="2" t="n">
        <x:v>45899.70138888889</x:v>
      </x:c>
      <x:c r="C141" t="inlineStr">
        <x:is>
          <x:t xml:space="preserve">Lisbon</x:t>
        </x:is>
      </x:c>
      <x:c r="D141" s="3" t="n">
        <x:v>27.8</x:v>
      </x:c>
      <x:c r="E141" s="3" t="n">
        <x:v>27.7</x:v>
      </x:c>
      <x:c r="F141" s="4" t="n">
        <x:v>64</x:v>
      </x:c>
      <x:c r="G141" s="4" t="n">
        <x:v>1015</x:v>
      </x:c>
      <x:c r="H141" t="inlineStr">
        <x:is>
          <x:t xml:space="preserve">clear sky</x:t>
        </x:is>
      </x:c>
      <x:c r="I141" s="3" t="n">
        <x:v>17.1</x:v>
      </x:c>
    </x:row>
    <x:row r="142">
      <x:c r="A142" t="n">
        <x:v>141</x:v>
      </x:c>
      <x:c r="B142" s="2" t="n">
        <x:v>45900.78472222222</x:v>
      </x:c>
      <x:c r="C142" t="inlineStr">
        <x:is>
          <x:t xml:space="preserve">Lisbon</x:t>
        </x:is>
      </x:c>
      <x:c r="D142" s="3" t="n">
        <x:v>26.1</x:v>
      </x:c>
      <x:c r="E142" s="3" t="n">
        <x:v>28.7</x:v>
      </x:c>
      <x:c r="F142" s="4" t="n">
        <x:v>78</x:v>
      </x:c>
      <x:c r="G142" s="4" t="n">
        <x:v>1003</x:v>
      </x:c>
      <x:c r="H142" t="inlineStr">
        <x:is>
          <x:t xml:space="preserve">moderate rain</x:t>
        </x:is>
      </x:c>
      <x:c r="I142" s="3" t="n">
        <x:v>21.2</x:v>
      </x:c>
    </x:row>
    <x:row r="143">
      <x:c r="A143" t="n">
        <x:v>142</x:v>
      </x:c>
      <x:c r="B143" s="2" t="n">
        <x:v>45901.47916666666</x:v>
      </x:c>
      <x:c r="C143" t="inlineStr">
        <x:is>
          <x:t xml:space="preserve">Lisbon</x:t>
        </x:is>
      </x:c>
      <x:c r="D143" s="3" t="n">
        <x:v>25.4</x:v>
      </x:c>
      <x:c r="E143" s="3" t="n">
        <x:v>25.6</x:v>
      </x:c>
      <x:c r="F143" s="4" t="n">
        <x:v>64</x:v>
      </x:c>
      <x:c r="G143" s="4" t="n">
        <x:v>1014</x:v>
      </x:c>
      <x:c r="H143" t="inlineStr">
        <x:is>
          <x:t xml:space="preserve">clear sky</x:t>
        </x:is>
      </x:c>
      <x:c r="I143" s="3" t="n">
        <x:v>13.2</x:v>
      </x:c>
    </x:row>
    <x:row r="144">
      <x:c r="A144" t="n">
        <x:v>143</x:v>
      </x:c>
      <x:c r="B144" s="2" t="n">
        <x:v>45902.44444444445</x:v>
      </x:c>
      <x:c r="C144" t="inlineStr">
        <x:is>
          <x:t xml:space="preserve">Lisbon</x:t>
        </x:is>
      </x:c>
      <x:c r="D144" s="3" t="n">
        <x:v>20.6</x:v>
      </x:c>
      <x:c r="E144" s="3" t="n">
        <x:v>21.1</x:v>
      </x:c>
      <x:c r="F144" s="4" t="n">
        <x:v>56</x:v>
      </x:c>
      <x:c r="G144" s="4" t="n">
        <x:v>1016</x:v>
      </x:c>
      <x:c r="H144" t="inlineStr">
        <x:is>
          <x:t xml:space="preserve">clear sky</x:t>
        </x:is>
      </x:c>
      <x:c r="I144" s="3" t="n">
        <x:v>14.9</x:v>
      </x:c>
    </x:row>
    <x:row r="145">
      <x:c r="A145" t="n">
        <x:v>144</x:v>
      </x:c>
      <x:c r="B145" s="2" t="n">
        <x:v>45903.27083333334</x:v>
      </x:c>
      <x:c r="C145" t="inlineStr">
        <x:is>
          <x:t xml:space="preserve">Lisbon</x:t>
        </x:is>
      </x:c>
      <x:c r="D145" s="3" t="n">
        <x:v>23.2</x:v>
      </x:c>
      <x:c r="E145" s="3" t="n">
        <x:v>22.8</x:v>
      </x:c>
      <x:c r="F145" s="4" t="n">
        <x:v>69</x:v>
      </x:c>
      <x:c r="G145" s="4" t="n">
        <x:v>1006</x:v>
      </x:c>
      <x:c r="H145" t="inlineStr">
        <x:is>
          <x:t xml:space="preserve">drizzle</x:t>
        </x:is>
      </x:c>
      <x:c r="I145" s="3" t="n">
        <x:v>19.8</x:v>
      </x:c>
    </x:row>
    <x:row r="146">
      <x:c r="A146" t="n">
        <x:v>145</x:v>
      </x:c>
      <x:c r="B146" s="2" t="n">
        <x:v>45904.25</x:v>
      </x:c>
      <x:c r="C146" t="inlineStr">
        <x:is>
          <x:t xml:space="preserve">Lisbon</x:t>
        </x:is>
      </x:c>
      <x:c r="D146" s="3" t="n">
        <x:v>22.1</x:v>
      </x:c>
      <x:c r="E146" s="3" t="n">
        <x:v>22.4</x:v>
      </x:c>
      <x:c r="F146" s="4" t="n">
        <x:v>48</x:v>
      </x:c>
      <x:c r="G146" s="4" t="n">
        <x:v>1016</x:v>
      </x:c>
      <x:c r="H146" t="inlineStr">
        <x:is>
          <x:t xml:space="preserve">clear sky</x:t>
        </x:is>
      </x:c>
      <x:c r="I146" s="3" t="n">
        <x:v>20.3</x:v>
      </x:c>
    </x:row>
    <x:row r="147">
      <x:c r="A147" t="n">
        <x:v>146</x:v>
      </x:c>
      <x:c r="B147" s="2" t="n">
        <x:v>45905.79861111111</x:v>
      </x:c>
      <x:c r="C147" t="inlineStr">
        <x:is>
          <x:t xml:space="preserve">Lisbon</x:t>
        </x:is>
      </x:c>
      <x:c r="D147" s="3" t="n">
        <x:v>30.5</x:v>
      </x:c>
      <x:c r="E147" s="3" t="n">
        <x:v>32.1</x:v>
      </x:c>
      <x:c r="F147" s="4" t="n">
        <x:v>66</x:v>
      </x:c>
      <x:c r="G147" s="4" t="n">
        <x:v>1013</x:v>
      </x:c>
      <x:c r="H147" t="inlineStr">
        <x:is>
          <x:t xml:space="preserve">overcast clouds</x:t>
        </x:is>
      </x:c>
      <x:c r="I147" s="3" t="n">
        <x:v>15.4</x:v>
      </x:c>
    </x:row>
    <x:row r="148">
      <x:c r="A148" t="n">
        <x:v>147</x:v>
      </x:c>
      <x:c r="B148" s="2" t="n">
        <x:v>45906.84027777778</x:v>
      </x:c>
      <x:c r="C148" t="inlineStr">
        <x:is>
          <x:t xml:space="preserve">Lisbon</x:t>
        </x:is>
      </x:c>
      <x:c r="D148" s="3" t="n">
        <x:v>26.1</x:v>
      </x:c>
      <x:c r="E148" s="3" t="n">
        <x:v>26.5</x:v>
      </x:c>
      <x:c r="F148" s="4" t="n">
        <x:v>65</x:v>
      </x:c>
      <x:c r="G148" s="4" t="n">
        <x:v>1020</x:v>
      </x:c>
      <x:c r="H148" t="inlineStr">
        <x:is>
          <x:t xml:space="preserve">clear sky</x:t>
        </x:is>
      </x:c>
      <x:c r="I148" s="3" t="n">
        <x:v>13.2</x:v>
      </x:c>
    </x:row>
    <x:row r="149">
      <x:c r="A149" t="n">
        <x:v>148</x:v>
      </x:c>
      <x:c r="B149" s="2" t="n">
        <x:v>45907.30555555555</x:v>
      </x:c>
      <x:c r="C149" t="inlineStr">
        <x:is>
          <x:t xml:space="preserve">Lisbon</x:t>
        </x:is>
      </x:c>
      <x:c r="D149" s="3" t="n">
        <x:v>24.3</x:v>
      </x:c>
      <x:c r="E149" s="3" t="n">
        <x:v>24</x:v>
      </x:c>
      <x:c r="F149" s="4" t="n">
        <x:v>68</x:v>
      </x:c>
      <x:c r="G149" s="4" t="n">
        <x:v>1012</x:v>
      </x:c>
      <x:c r="H149" t="inlineStr">
        <x:is>
          <x:t xml:space="preserve">scattered clouds</x:t>
        </x:is>
      </x:c>
      <x:c r="I149" s="3" t="n">
        <x:v>17.1</x:v>
      </x:c>
    </x:row>
    <x:row r="150">
      <x:c r="A150" t="n">
        <x:v>149</x:v>
      </x:c>
      <x:c r="B150" s="2" t="n">
        <x:v>45908.76388888889</x:v>
      </x:c>
      <x:c r="C150" t="inlineStr">
        <x:is>
          <x:t xml:space="preserve">Lisbon</x:t>
        </x:is>
      </x:c>
      <x:c r="D150" s="3" t="n">
        <x:v>25</x:v>
      </x:c>
      <x:c r="E150" s="3" t="n">
        <x:v>25.4</x:v>
      </x:c>
      <x:c r="F150" s="4" t="n">
        <x:v>56</x:v>
      </x:c>
      <x:c r="G150" s="4" t="n">
        <x:v>1006</x:v>
      </x:c>
      <x:c r="H150" t="inlineStr">
        <x:is>
          <x:t xml:space="preserve">moderate rain</x:t>
        </x:is>
      </x:c>
      <x:c r="I150" s="3" t="n">
        <x:v>20.5</x:v>
      </x:c>
    </x:row>
    <x:row r="151">
      <x:c r="A151" t="n">
        <x:v>150</x:v>
      </x:c>
      <x:c r="B151" s="2" t="n">
        <x:v>45909.52083333334</x:v>
      </x:c>
      <x:c r="C151" t="inlineStr">
        <x:is>
          <x:t xml:space="preserve">Lisbon</x:t>
        </x:is>
      </x:c>
      <x:c r="D151" s="3" t="n">
        <x:v>20</x:v>
      </x:c>
      <x:c r="E151" s="3" t="n">
        <x:v>20.1</x:v>
      </x:c>
      <x:c r="F151" s="4" t="n">
        <x:v>71</x:v>
      </x:c>
      <x:c r="G151" s="4" t="n">
        <x:v>1007</x:v>
      </x:c>
      <x:c r="H151" t="inlineStr">
        <x:is>
          <x:t xml:space="preserve">drizzle</x:t>
        </x:is>
      </x:c>
      <x:c r="I151" s="3" t="n">
        <x:v>21.1</x:v>
      </x:c>
    </x:row>
    <x:row r="152">
      <x:c r="A152" t="n">
        <x:v>151</x:v>
      </x:c>
      <x:c r="B152" s="2" t="n">
        <x:v>45910.68055555555</x:v>
      </x:c>
      <x:c r="C152" t="inlineStr">
        <x:is>
          <x:t xml:space="preserve">Lisbon</x:t>
        </x:is>
      </x:c>
      <x:c r="D152" s="3" t="n">
        <x:v>24.8</x:v>
      </x:c>
      <x:c r="E152" s="3" t="n">
        <x:v>25.9</x:v>
      </x:c>
      <x:c r="F152" s="4" t="n">
        <x:v>69</x:v>
      </x:c>
      <x:c r="G152" s="4" t="n">
        <x:v>1012</x:v>
      </x:c>
      <x:c r="H152" t="inlineStr">
        <x:is>
          <x:t xml:space="preserve">overcast clouds</x:t>
        </x:is>
      </x:c>
      <x:c r="I152" s="3" t="n">
        <x:v>12.4</x:v>
      </x:c>
    </x:row>
    <x:row r="153">
      <x:c r="A153" t="n">
        <x:v>152</x:v>
      </x:c>
      <x:c r="B153" s="2" t="n">
        <x:v>45911.76388888889</x:v>
      </x:c>
      <x:c r="C153" t="inlineStr">
        <x:is>
          <x:t xml:space="preserve">Lisbon</x:t>
        </x:is>
      </x:c>
      <x:c r="D153" s="3" t="n">
        <x:v>26.5</x:v>
      </x:c>
      <x:c r="E153" s="3" t="n">
        <x:v>26.3</x:v>
      </x:c>
      <x:c r="F153" s="4" t="n">
        <x:v>50</x:v>
      </x:c>
      <x:c r="G153" s="4" t="n">
        <x:v>1011</x:v>
      </x:c>
      <x:c r="H153" t="inlineStr">
        <x:is>
          <x:t xml:space="preserve">few clouds</x:t>
        </x:is>
      </x:c>
      <x:c r="I153" s="3" t="n">
        <x:v>15.4</x:v>
      </x:c>
    </x:row>
    <x:row r="154">
      <x:c r="A154" t="n">
        <x:v>153</x:v>
      </x:c>
      <x:c r="B154" s="2" t="n">
        <x:v>45912.80555555555</x:v>
      </x:c>
      <x:c r="C154" t="inlineStr">
        <x:is>
          <x:t xml:space="preserve">Lisbon</x:t>
        </x:is>
      </x:c>
      <x:c r="D154" s="3" t="n">
        <x:v>27.8</x:v>
      </x:c>
      <x:c r="E154" s="3" t="n">
        <x:v>29.5</x:v>
      </x:c>
      <x:c r="F154" s="4" t="n">
        <x:v>66</x:v>
      </x:c>
      <x:c r="G154" s="4" t="n">
        <x:v>1013</x:v>
      </x:c>
      <x:c r="H154" t="inlineStr">
        <x:is>
          <x:t xml:space="preserve">clear sky</x:t>
        </x:is>
      </x:c>
      <x:c r="I154" s="3" t="n">
        <x:v>18.5</x:v>
      </x:c>
    </x:row>
    <x:row r="155">
      <x:c r="A155" t="n">
        <x:v>154</x:v>
      </x:c>
      <x:c r="B155" s="2" t="n">
        <x:v>45913.35416666666</x:v>
      </x:c>
      <x:c r="C155" t="inlineStr">
        <x:is>
          <x:t xml:space="preserve">Lisbon</x:t>
        </x:is>
      </x:c>
      <x:c r="D155" s="3" t="n">
        <x:v>19.5</x:v>
      </x:c>
      <x:c r="E155" s="3" t="n">
        <x:v>19.2</x:v>
      </x:c>
      <x:c r="F155" s="4" t="n">
        <x:v>70</x:v>
      </x:c>
      <x:c r="G155" s="4" t="n">
        <x:v>1014</x:v>
      </x:c>
      <x:c r="H155" t="inlineStr">
        <x:is>
          <x:t xml:space="preserve">few clouds</x:t>
        </x:is>
      </x:c>
      <x:c r="I155" s="3" t="n">
        <x:v>13.9</x:v>
      </x:c>
    </x:row>
    <x:row r="156">
      <x:c r="A156" t="n">
        <x:v>155</x:v>
      </x:c>
      <x:c r="B156" s="2" t="n">
        <x:v>45914.28472222222</x:v>
      </x:c>
      <x:c r="C156" t="inlineStr">
        <x:is>
          <x:t xml:space="preserve">Lisbon</x:t>
        </x:is>
      </x:c>
      <x:c r="D156" s="3" t="n">
        <x:v>20.2</x:v>
      </x:c>
      <x:c r="E156" s="3" t="n">
        <x:v>21</x:v>
      </x:c>
      <x:c r="F156" s="4" t="n">
        <x:v>70</x:v>
      </x:c>
      <x:c r="G156" s="4" t="n">
        <x:v>999</x:v>
      </x:c>
      <x:c r="H156" t="inlineStr">
        <x:is>
          <x:t xml:space="preserve">drizzle</x:t>
        </x:is>
      </x:c>
      <x:c r="I156" s="3" t="n">
        <x:v>28.5</x:v>
      </x:c>
    </x:row>
    <x:row r="157">
      <x:c r="A157" t="n">
        <x:v>156</x:v>
      </x:c>
      <x:c r="B157" s="2" t="n">
        <x:v>45915.30555555555</x:v>
      </x:c>
      <x:c r="C157" t="inlineStr">
        <x:is>
          <x:t xml:space="preserve">Lisbon</x:t>
        </x:is>
      </x:c>
      <x:c r="D157" s="3" t="n">
        <x:v>21.3</x:v>
      </x:c>
      <x:c r="E157" s="3" t="n">
        <x:v>20.9</x:v>
      </x:c>
      <x:c r="F157" s="4" t="n">
        <x:v>77</x:v>
      </x:c>
      <x:c r="G157" s="4" t="n">
        <x:v>1007</x:v>
      </x:c>
      <x:c r="H157" t="inlineStr">
        <x:is>
          <x:t xml:space="preserve">overcast clouds</x:t>
        </x:is>
      </x:c>
      <x:c r="I157" s="3" t="n">
        <x:v>16.5</x:v>
      </x:c>
    </x:row>
    <x:row r="158">
      <x:c r="A158" t="n">
        <x:v>157</x:v>
      </x:c>
      <x:c r="B158" s="2" t="n">
        <x:v>45917.57638888889</x:v>
      </x:c>
      <x:c r="C158" t="inlineStr">
        <x:is>
          <x:t xml:space="preserve">Lisbon</x:t>
        </x:is>
      </x:c>
      <x:c r="D158" s="3" t="n">
        <x:v>22.4</x:v>
      </x:c>
      <x:c r="E158" s="3" t="n">
        <x:v>23.4</x:v>
      </x:c>
      <x:c r="F158" s="4" t="n">
        <x:v>70</x:v>
      </x:c>
      <x:c r="G158" s="4" t="n">
        <x:v>1009</x:v>
      </x:c>
      <x:c r="H158" t="inlineStr">
        <x:is>
          <x:t xml:space="preserve">few clouds</x:t>
        </x:is>
      </x:c>
      <x:c r="I158" s="3" t="n">
        <x:v>14.2</x:v>
      </x:c>
    </x:row>
    <x:row r="159">
      <x:c r="A159" t="n">
        <x:v>158</x:v>
      </x:c>
      <x:c r="B159" s="2" t="n">
        <x:v>45918.36805555555</x:v>
      </x:c>
      <x:c r="C159" t="inlineStr">
        <x:is>
          <x:t xml:space="preserve">Lisbon</x:t>
        </x:is>
      </x:c>
      <x:c r="D159" s="3" t="n">
        <x:v>19.3</x:v>
      </x:c>
      <x:c r="E159" s="3" t="n">
        <x:v>18.5</x:v>
      </x:c>
      <x:c r="F159" s="4" t="n">
        <x:v>77</x:v>
      </x:c>
      <x:c r="G159" s="4" t="n">
        <x:v>1014</x:v>
      </x:c>
      <x:c r="H159" t="inlineStr">
        <x:is>
          <x:t xml:space="preserve">overcast clouds</x:t>
        </x:is>
      </x:c>
      <x:c r="I159" s="3" t="n">
        <x:v>19.9</x:v>
      </x:c>
    </x:row>
    <x:row r="160">
      <x:c r="A160" t="n">
        <x:v>159</x:v>
      </x:c>
      <x:c r="B160" s="2" t="n">
        <x:v>45919.29166666666</x:v>
      </x:c>
      <x:c r="C160" t="inlineStr">
        <x:is>
          <x:t xml:space="preserve">Lisbon</x:t>
        </x:is>
      </x:c>
      <x:c r="D160" s="3" t="n">
        <x:v>21.7</x:v>
      </x:c>
      <x:c r="E160" s="3" t="n">
        <x:v>22.3</x:v>
      </x:c>
      <x:c r="F160" s="4" t="n">
        <x:v>77</x:v>
      </x:c>
      <x:c r="G160" s="4" t="n">
        <x:v>1012</x:v>
      </x:c>
      <x:c r="H160" t="inlineStr">
        <x:is>
          <x:t xml:space="preserve">overcast clouds</x:t>
        </x:is>
      </x:c>
      <x:c r="I160" s="3" t="n">
        <x:v>19.6</x:v>
      </x:c>
    </x:row>
    <x:row r="161">
      <x:c r="A161" t="n">
        <x:v>160</x:v>
      </x:c>
      <x:c r="B161" s="2" t="n">
        <x:v>45920.54861111111</x:v>
      </x:c>
      <x:c r="C161" t="inlineStr">
        <x:is>
          <x:t xml:space="preserve">Lisbon</x:t>
        </x:is>
      </x:c>
      <x:c r="D161" s="3" t="n">
        <x:v>19.9</x:v>
      </x:c>
      <x:c r="E161" s="3" t="n">
        <x:v>20.2</x:v>
      </x:c>
      <x:c r="F161" s="4" t="n">
        <x:v>61</x:v>
      </x:c>
      <x:c r="G161" s="4" t="n">
        <x:v>1013</x:v>
      </x:c>
      <x:c r="H161" t="inlineStr">
        <x:is>
          <x:t xml:space="preserve">clear sky</x:t>
        </x:is>
      </x:c>
      <x:c r="I161" s="3" t="n">
        <x:v>18</x:v>
      </x:c>
    </x:row>
    <x:row r="162">
      <x:c r="A162" t="n">
        <x:v>161</x:v>
      </x:c>
      <x:c r="B162" s="2" t="n">
        <x:v>45921.27777777778</x:v>
      </x:c>
      <x:c r="C162" t="inlineStr">
        <x:is>
          <x:t xml:space="preserve">Lisbon</x:t>
        </x:is>
      </x:c>
      <x:c r="D162" s="3" t="n">
        <x:v>22.6</x:v>
      </x:c>
      <x:c r="E162" s="3" t="n">
        <x:v>22.2</x:v>
      </x:c>
      <x:c r="F162" s="4" t="n">
        <x:v>59</x:v>
      </x:c>
      <x:c r="G162" s="4" t="n">
        <x:v>1012</x:v>
      </x:c>
      <x:c r="H162" t="inlineStr">
        <x:is>
          <x:t xml:space="preserve">few clouds</x:t>
        </x:is>
      </x:c>
      <x:c r="I162" s="3" t="n">
        <x:v>14</x:v>
      </x:c>
    </x:row>
    <x:row r="163">
      <x:c r="A163" t="n">
        <x:v>162</x:v>
      </x:c>
      <x:c r="B163" s="2" t="n">
        <x:v>45922.42361111111</x:v>
      </x:c>
      <x:c r="C163" t="inlineStr">
        <x:is>
          <x:t xml:space="preserve">Lisbon</x:t>
        </x:is>
      </x:c>
      <x:c r="D163" s="3" t="n">
        <x:v>20.9</x:v>
      </x:c>
      <x:c r="E163" s="3" t="n">
        <x:v>19.8</x:v>
      </x:c>
      <x:c r="F163" s="4" t="n">
        <x:v>70</x:v>
      </x:c>
      <x:c r="G163" s="4" t="n">
        <x:v>1008</x:v>
      </x:c>
      <x:c r="H163" t="inlineStr">
        <x:is>
          <x:t xml:space="preserve">broken clouds</x:t>
        </x:is>
      </x:c>
      <x:c r="I163" s="3" t="n">
        <x:v>15.5</x:v>
      </x:c>
    </x:row>
    <x:row r="164">
      <x:c r="A164" t="n">
        <x:v>163</x:v>
      </x:c>
      <x:c r="B164" s="2" t="n">
        <x:v>45923.4375</x:v>
      </x:c>
      <x:c r="C164" t="inlineStr">
        <x:is>
          <x:t xml:space="preserve">Lisbon</x:t>
        </x:is>
      </x:c>
      <x:c r="D164" s="3" t="n">
        <x:v>21.2</x:v>
      </x:c>
      <x:c r="E164" s="3" t="n">
        <x:v>21.4</x:v>
      </x:c>
      <x:c r="F164" s="4" t="n">
        <x:v>59</x:v>
      </x:c>
      <x:c r="G164" s="4" t="n">
        <x:v>1018</x:v>
      </x:c>
      <x:c r="H164" t="inlineStr">
        <x:is>
          <x:t xml:space="preserve">clear sky</x:t>
        </x:is>
      </x:c>
      <x:c r="I164" s="3" t="n">
        <x:v>19.3</x:v>
      </x:c>
    </x:row>
    <x:row r="165">
      <x:c r="A165" t="n">
        <x:v>164</x:v>
      </x:c>
      <x:c r="B165" s="2" t="n">
        <x:v>45924.40277777778</x:v>
      </x:c>
      <x:c r="C165" t="inlineStr">
        <x:is>
          <x:t xml:space="preserve">Lisbon</x:t>
        </x:is>
      </x:c>
      <x:c r="D165" s="3" t="n">
        <x:v>21.5</x:v>
      </x:c>
      <x:c r="E165" s="3" t="n">
        <x:v>21.1</x:v>
      </x:c>
      <x:c r="F165" s="4" t="n">
        <x:v>51</x:v>
      </x:c>
      <x:c r="G165" s="4" t="n">
        <x:v>1004</x:v>
      </x:c>
      <x:c r="H165" t="inlineStr">
        <x:is>
          <x:t xml:space="preserve">scattered clouds</x:t>
        </x:is>
      </x:c>
      <x:c r="I165" s="3" t="n">
        <x:v>21.8</x:v>
      </x:c>
    </x:row>
    <x:row r="166">
      <x:c r="A166" t="n">
        <x:v>165</x:v>
      </x:c>
      <x:c r="B166" s="2" t="n">
        <x:v>45925.52083333334</x:v>
      </x:c>
      <x:c r="C166" t="inlineStr">
        <x:is>
          <x:t xml:space="preserve">Lisbon</x:t>
        </x:is>
      </x:c>
      <x:c r="D166" s="3" t="n">
        <x:v>20.8</x:v>
      </x:c>
      <x:c r="E166" s="3" t="n">
        <x:v>20.8</x:v>
      </x:c>
      <x:c r="F166" s="4" t="n">
        <x:v>63</x:v>
      </x:c>
      <x:c r="G166" s="4" t="n">
        <x:v>1015</x:v>
      </x:c>
      <x:c r="H166" t="inlineStr">
        <x:is>
          <x:t xml:space="preserve">clear sky</x:t>
        </x:is>
      </x:c>
      <x:c r="I166" s="3" t="n">
        <x:v>13.3</x:v>
      </x:c>
    </x:row>
    <x:row r="167">
      <x:c r="A167" t="n">
        <x:v>166</x:v>
      </x:c>
      <x:c r="B167" s="2" t="n">
        <x:v>45926.59722222222</x:v>
      </x:c>
      <x:c r="C167" t="inlineStr">
        <x:is>
          <x:t xml:space="preserve">Lisbon</x:t>
        </x:is>
      </x:c>
      <x:c r="D167" s="3" t="n">
        <x:v>23.5</x:v>
      </x:c>
      <x:c r="E167" s="3" t="n">
        <x:v>22.7</x:v>
      </x:c>
      <x:c r="F167" s="4" t="n">
        <x:v>72</x:v>
      </x:c>
      <x:c r="G167" s="4" t="n">
        <x:v>1007</x:v>
      </x:c>
      <x:c r="H167" t="inlineStr">
        <x:is>
          <x:t xml:space="preserve">broken clouds</x:t>
        </x:is>
      </x:c>
      <x:c r="I167" s="3" t="n">
        <x:v>17.8</x:v>
      </x:c>
    </x:row>
    <x:row r="168">
      <x:c r="A168" t="n">
        <x:v>167</x:v>
      </x:c>
      <x:c r="B168" s="2" t="n">
        <x:v>45927.48611111111</x:v>
      </x:c>
      <x:c r="C168" t="inlineStr">
        <x:is>
          <x:t xml:space="preserve">Lisbon</x:t>
        </x:is>
      </x:c>
      <x:c r="D168" s="3" t="n">
        <x:v>20.1</x:v>
      </x:c>
      <x:c r="E168" s="3" t="n">
        <x:v>20.7</x:v>
      </x:c>
      <x:c r="F168" s="4" t="n">
        <x:v>72</x:v>
      </x:c>
      <x:c r="G168" s="4" t="n">
        <x:v>1008</x:v>
      </x:c>
      <x:c r="H168" t="inlineStr">
        <x:is>
          <x:t xml:space="preserve">scattered clouds</x:t>
        </x:is>
      </x:c>
      <x:c r="I168" s="3" t="n">
        <x:v>17.3</x:v>
      </x:c>
    </x:row>
    <x:row r="169">
      <x:c r="A169" t="n">
        <x:v>168</x:v>
      </x:c>
      <x:c r="B169" s="2" t="n">
        <x:v>45928.38194444445</x:v>
      </x:c>
      <x:c r="C169" t="inlineStr">
        <x:is>
          <x:t xml:space="preserve">Lisbon</x:t>
        </x:is>
      </x:c>
      <x:c r="D169" s="3" t="n">
        <x:v>19.9</x:v>
      </x:c>
      <x:c r="E169" s="3" t="n">
        <x:v>20.4</x:v>
      </x:c>
      <x:c r="F169" s="4" t="n">
        <x:v>66</x:v>
      </x:c>
      <x:c r="G169" s="4" t="n">
        <x:v>1017</x:v>
      </x:c>
      <x:c r="H169" t="inlineStr">
        <x:is>
          <x:t xml:space="preserve">scattered clouds</x:t>
        </x:is>
      </x:c>
      <x:c r="I169" s="3" t="n">
        <x:v>16.4</x:v>
      </x:c>
    </x:row>
    <x:row r="170">
      <x:c r="A170" t="n">
        <x:v>169</x:v>
      </x:c>
      <x:c r="B170" s="2" t="n">
        <x:v>45929.625</x:v>
      </x:c>
      <x:c r="C170" t="inlineStr">
        <x:is>
          <x:t xml:space="preserve">Lisbon</x:t>
        </x:is>
      </x:c>
      <x:c r="D170" s="3" t="n">
        <x:v>21.3</x:v>
      </x:c>
      <x:c r="E170" s="3" t="n">
        <x:v>22.4</x:v>
      </x:c>
      <x:c r="F170" s="4" t="n">
        <x:v>48</x:v>
      </x:c>
      <x:c r="G170" s="4" t="n">
        <x:v>1015</x:v>
      </x:c>
      <x:c r="H170" t="inlineStr">
        <x:is>
          <x:t xml:space="preserve">clear sky</x:t>
        </x:is>
      </x:c>
      <x:c r="I170" s="3" t="n">
        <x:v>15.4</x:v>
      </x:c>
    </x:row>
    <x:row r="171">
      <x:c r="A171" t="n">
        <x:v>170</x:v>
      </x:c>
      <x:c r="B171" s="2" t="n">
        <x:v>45930.26388888889</x:v>
      </x:c>
      <x:c r="C171" t="inlineStr">
        <x:is>
          <x:t xml:space="preserve">Lisbon</x:t>
        </x:is>
      </x:c>
      <x:c r="D171" s="3" t="n">
        <x:v>19.8</x:v>
      </x:c>
      <x:c r="E171" s="3" t="n">
        <x:v>19.5</x:v>
      </x:c>
      <x:c r="F171" s="4" t="n">
        <x:v>61</x:v>
      </x:c>
      <x:c r="G171" s="4" t="n">
        <x:v>1003</x:v>
      </x:c>
      <x:c r="H171" t="inlineStr">
        <x:is>
          <x:t xml:space="preserve">overcast clouds</x:t>
        </x:is>
      </x:c>
      <x:c r="I171" s="3" t="n">
        <x:v>26.5</x:v>
      </x:c>
    </x:row>
    <x:row r="172">
      <x:c r="A172" t="n">
        <x:v>171</x:v>
      </x:c>
      <x:c r="B172" s="2" t="n">
        <x:v>45931.77083333334</x:v>
      </x:c>
      <x:c r="C172" t="inlineStr">
        <x:is>
          <x:t xml:space="preserve">Lisbon</x:t>
        </x:is>
      </x:c>
      <x:c r="D172" s="3" t="n">
        <x:v>25.6</x:v>
      </x:c>
      <x:c r="E172" s="3" t="n">
        <x:v>26</x:v>
      </x:c>
      <x:c r="F172" s="4" t="n">
        <x:v>52</x:v>
      </x:c>
      <x:c r="G172" s="4" t="n">
        <x:v>1008</x:v>
      </x:c>
      <x:c r="H172" t="inlineStr">
        <x:is>
          <x:t xml:space="preserve">few clouds</x:t>
        </x:is>
      </x:c>
      <x:c r="I172" s="3" t="n">
        <x:v>23.2</x:v>
      </x:c>
    </x:row>
    <x:row r="173">
      <x:c r="A173" t="n">
        <x:v>172</x:v>
      </x:c>
      <x:c r="B173" s="2" t="n">
        <x:v>45932.5</x:v>
      </x:c>
      <x:c r="C173" t="inlineStr">
        <x:is>
          <x:t xml:space="preserve">Lisbon</x:t>
        </x:is>
      </x:c>
      <x:c r="D173" s="3" t="n">
        <x:v>18.7</x:v>
      </x:c>
      <x:c r="E173" s="3" t="n">
        <x:v>18</x:v>
      </x:c>
      <x:c r="F173" s="4" t="n">
        <x:v>66</x:v>
      </x:c>
      <x:c r="G173" s="4" t="n">
        <x:v>1008</x:v>
      </x:c>
      <x:c r="H173" t="inlineStr">
        <x:is>
          <x:t xml:space="preserve">overcast clouds</x:t>
        </x:is>
      </x:c>
      <x:c r="I173" s="3" t="n">
        <x:v>17.3</x:v>
      </x:c>
    </x:row>
    <x:row r="174">
      <x:c r="A174" t="n">
        <x:v>173</x:v>
      </x:c>
      <x:c r="B174" s="2" t="n">
        <x:v>45933.54166666666</x:v>
      </x:c>
      <x:c r="C174" t="inlineStr">
        <x:is>
          <x:t xml:space="preserve">Lisbon</x:t>
        </x:is>
      </x:c>
      <x:c r="D174" s="3" t="n">
        <x:v>21.3</x:v>
      </x:c>
      <x:c r="E174" s="3" t="n">
        <x:v>22.1</x:v>
      </x:c>
      <x:c r="F174" s="4" t="n">
        <x:v>93</x:v>
      </x:c>
      <x:c r="G174" s="4" t="n">
        <x:v>1004</x:v>
      </x:c>
      <x:c r="H174" t="inlineStr">
        <x:is>
          <x:t xml:space="preserve">moderate rain</x:t>
        </x:is>
      </x:c>
      <x:c r="I174" s="3" t="n">
        <x:v>17.8</x:v>
      </x:c>
    </x:row>
    <x:row r="175">
      <x:c r="A175" t="n">
        <x:v>174</x:v>
      </x:c>
      <x:c r="B175" s="2" t="n">
        <x:v>45934.65972222222</x:v>
      </x:c>
      <x:c r="C175" t="inlineStr">
        <x:is>
          <x:t xml:space="preserve">Lisbon</x:t>
        </x:is>
      </x:c>
      <x:c r="D175" s="3" t="n">
        <x:v>22</x:v>
      </x:c>
      <x:c r="E175" s="3" t="n">
        <x:v>22.7</x:v>
      </x:c>
      <x:c r="F175" s="4" t="n">
        <x:v>74</x:v>
      </x:c>
      <x:c r="G175" s="4" t="n">
        <x:v>1006</x:v>
      </x:c>
      <x:c r="H175" t="inlineStr">
        <x:is>
          <x:t xml:space="preserve">moderate rain</x:t>
        </x:is>
      </x:c>
      <x:c r="I175" s="3" t="n">
        <x:v>29.3</x:v>
      </x:c>
    </x:row>
    <x:row r="176">
      <x:c r="A176" t="n">
        <x:v>175</x:v>
      </x:c>
      <x:c r="B176" s="2" t="n">
        <x:v>45935.40277777778</x:v>
      </x:c>
      <x:c r="C176" t="inlineStr">
        <x:is>
          <x:t xml:space="preserve">Lisbon</x:t>
        </x:is>
      </x:c>
      <x:c r="D176" s="3" t="n">
        <x:v>19.6</x:v>
      </x:c>
      <x:c r="E176" s="3" t="n">
        <x:v>18.9</x:v>
      </x:c>
      <x:c r="F176" s="4" t="n">
        <x:v>84</x:v>
      </x:c>
      <x:c r="G176" s="4" t="n">
        <x:v>1003</x:v>
      </x:c>
      <x:c r="H176" t="inlineStr">
        <x:is>
          <x:t xml:space="preserve">drizzle</x:t>
        </x:is>
      </x:c>
      <x:c r="I176" s="3" t="n">
        <x:v>20.7</x:v>
      </x:c>
    </x:row>
    <x:row r="177">
      <x:c r="A177" t="n">
        <x:v>176</x:v>
      </x:c>
      <x:c r="B177" s="2" t="n">
        <x:v>45936.30555555555</x:v>
      </x:c>
      <x:c r="C177" t="inlineStr">
        <x:is>
          <x:t xml:space="preserve">Lisbon</x:t>
        </x:is>
      </x:c>
      <x:c r="D177" s="3" t="n">
        <x:v>19.2</x:v>
      </x:c>
      <x:c r="E177" s="3" t="n">
        <x:v>19.3</x:v>
      </x:c>
      <x:c r="F177" s="4" t="n">
        <x:v>97</x:v>
      </x:c>
      <x:c r="G177" s="4" t="n">
        <x:v>1012</x:v>
      </x:c>
      <x:c r="H177" t="inlineStr">
        <x:is>
          <x:t xml:space="preserve">drizzle</x:t>
        </x:is>
      </x:c>
      <x:c r="I177" s="3" t="n">
        <x:v>22.6</x:v>
      </x:c>
    </x:row>
    <x:row r="178">
      <x:c r="A178" t="n">
        <x:v>177</x:v>
      </x:c>
      <x:c r="B178" s="2" t="n">
        <x:v>45937.82638888889</x:v>
      </x:c>
      <x:c r="C178" t="inlineStr">
        <x:is>
          <x:t xml:space="preserve">Lisbon</x:t>
        </x:is>
      </x:c>
      <x:c r="D178" s="3" t="n">
        <x:v>27.5</x:v>
      </x:c>
      <x:c r="E178" s="3" t="n">
        <x:v>27.9</x:v>
      </x:c>
      <x:c r="F178" s="4" t="n">
        <x:v>63</x:v>
      </x:c>
      <x:c r="G178" s="4" t="n">
        <x:v>1012</x:v>
      </x:c>
      <x:c r="H178" t="inlineStr">
        <x:is>
          <x:t xml:space="preserve">broken clouds</x:t>
        </x:is>
      </x:c>
      <x:c r="I178" s="3" t="n">
        <x:v>15.4</x:v>
      </x:c>
    </x:row>
    <x:row r="179">
      <x:c r="A179" t="n">
        <x:v>178</x:v>
      </x:c>
      <x:c r="B179" s="2" t="n">
        <x:v>45938.70833333334</x:v>
      </x:c>
      <x:c r="C179" t="inlineStr">
        <x:is>
          <x:t xml:space="preserve">Lisbon</x:t>
        </x:is>
      </x:c>
      <x:c r="D179" s="3" t="n">
        <x:v>25.2</x:v>
      </x:c>
      <x:c r="E179" s="3" t="n">
        <x:v>24.7</x:v>
      </x:c>
      <x:c r="F179" s="4" t="n">
        <x:v>55</x:v>
      </x:c>
      <x:c r="G179" s="4" t="n">
        <x:v>1020</x:v>
      </x:c>
      <x:c r="H179" t="inlineStr">
        <x:is>
          <x:t xml:space="preserve">clear sky</x:t>
        </x:is>
      </x:c>
      <x:c r="I179" s="3" t="n">
        <x:v>18.7</x:v>
      </x:c>
    </x:row>
    <x:row r="180">
      <x:c r="A180" t="n">
        <x:v>179</x:v>
      </x:c>
      <x:c r="B180" s="2" t="n">
        <x:v>45939.66666666666</x:v>
      </x:c>
      <x:c r="C180" t="inlineStr">
        <x:is>
          <x:t xml:space="preserve">Lisbon</x:t>
        </x:is>
      </x:c>
      <x:c r="D180" s="3" t="n">
        <x:v>23.2</x:v>
      </x:c>
      <x:c r="E180" s="3" t="n">
        <x:v>22.9</x:v>
      </x:c>
      <x:c r="F180" s="4" t="n">
        <x:v>74</x:v>
      </x:c>
      <x:c r="G180" s="4" t="n">
        <x:v>999</x:v>
      </x:c>
      <x:c r="H180" t="inlineStr">
        <x:is>
          <x:t xml:space="preserve">drizzle</x:t>
        </x:is>
      </x:c>
      <x:c r="I180" s="3" t="n">
        <x:v>26.1</x:v>
      </x:c>
    </x:row>
    <x:row r="181">
      <x:c r="A181" t="n">
        <x:v>180</x:v>
      </x:c>
      <x:c r="B181" s="2" t="n">
        <x:v>45940.8125</x:v>
      </x:c>
      <x:c r="C181" t="inlineStr">
        <x:is>
          <x:t xml:space="preserve">Lisbon</x:t>
        </x:is>
      </x:c>
      <x:c r="D181" s="3" t="n">
        <x:v>23</x:v>
      </x:c>
      <x:c r="E181" s="3" t="n">
        <x:v>22</x:v>
      </x:c>
      <x:c r="F181" s="4" t="n">
        <x:v>73</x:v>
      </x:c>
      <x:c r="G181" s="4" t="n">
        <x:v>1014</x:v>
      </x:c>
      <x:c r="H181" t="inlineStr">
        <x:is>
          <x:t xml:space="preserve">scattered clouds</x:t>
        </x:is>
      </x:c>
      <x:c r="I181" s="3" t="n">
        <x:v>14.4</x:v>
      </x:c>
    </x:row>
    <x:row r="182">
      <x:c r="A182" t="n">
        <x:v>181</x:v>
      </x:c>
      <x:c r="B182" s="2" t="n">
        <x:v>45941.39583333334</x:v>
      </x:c>
      <x:c r="C182" t="inlineStr">
        <x:is>
          <x:t xml:space="preserve">Lisbon</x:t>
        </x:is>
      </x:c>
      <x:c r="D182" s="3" t="n">
        <x:v>18.7</x:v>
      </x:c>
      <x:c r="E182" s="3" t="n">
        <x:v>19.3</x:v>
      </x:c>
      <x:c r="F182" s="4" t="n">
        <x:v>58</x:v>
      </x:c>
      <x:c r="G182" s="4" t="n">
        <x:v>1015</x:v>
      </x:c>
      <x:c r="H182" t="inlineStr">
        <x:is>
          <x:t xml:space="preserve">clear sky</x:t>
        </x:is>
      </x:c>
      <x:c r="I182" s="3" t="n">
        <x:v>14.1</x:v>
      </x:c>
    </x:row>
    <x:row r="183">
      <x:c r="A183" t="n">
        <x:v>182</x:v>
      </x:c>
      <x:c r="B183" s="2" t="n">
        <x:v>45942.74305555555</x:v>
      </x:c>
      <x:c r="C183" t="inlineStr">
        <x:is>
          <x:t xml:space="preserve">Lisbon</x:t>
        </x:is>
      </x:c>
      <x:c r="D183" s="3" t="n">
        <x:v>21</x:v>
      </x:c>
      <x:c r="E183" s="3" t="n">
        <x:v>20.2</x:v>
      </x:c>
      <x:c r="F183" s="4" t="n">
        <x:v>70</x:v>
      </x:c>
      <x:c r="G183" s="4" t="n">
        <x:v>1013</x:v>
      </x:c>
      <x:c r="H183" t="inlineStr">
        <x:is>
          <x:t xml:space="preserve">overcast clouds</x:t>
        </x:is>
      </x:c>
      <x:c r="I183" s="3" t="n">
        <x:v>13.6</x:v>
      </x:c>
    </x:row>
    <x:row r="184">
      <x:c r="A184" t="n">
        <x:v>183</x:v>
      </x:c>
      <x:c r="B184" s="2" t="n">
        <x:v>45943.86805555555</x:v>
      </x:c>
      <x:c r="C184" t="inlineStr">
        <x:is>
          <x:t xml:space="preserve">Lisbon</x:t>
        </x:is>
      </x:c>
      <x:c r="D184" s="3" t="n">
        <x:v>25.1</x:v>
      </x:c>
      <x:c r="E184" s="3" t="n">
        <x:v>25</x:v>
      </x:c>
      <x:c r="F184" s="4" t="n">
        <x:v>68</x:v>
      </x:c>
      <x:c r="G184" s="4" t="n">
        <x:v>1003</x:v>
      </x:c>
      <x:c r="H184" t="inlineStr">
        <x:is>
          <x:t xml:space="preserve">light rain</x:t>
        </x:is>
      </x:c>
      <x:c r="I184" s="3" t="n">
        <x:v>21.7</x:v>
      </x:c>
    </x:row>
    <x:row r="185">
      <x:c r="A185" t="n">
        <x:v>184</x:v>
      </x:c>
      <x:c r="B185" s="2" t="n">
        <x:v>45944.4375</x:v>
      </x:c>
      <x:c r="C185" t="inlineStr">
        <x:is>
          <x:t xml:space="preserve">Lisbon</x:t>
        </x:is>
      </x:c>
      <x:c r="D185" s="3" t="n">
        <x:v>21.8</x:v>
      </x:c>
      <x:c r="E185" s="3" t="n">
        <x:v>21.2</x:v>
      </x:c>
      <x:c r="F185" s="4" t="n">
        <x:v>82</x:v>
      </x:c>
      <x:c r="G185" s="4" t="n">
        <x:v>1011</x:v>
      </x:c>
      <x:c r="H185" t="inlineStr">
        <x:is>
          <x:t xml:space="preserve">few clouds</x:t>
        </x:is>
      </x:c>
      <x:c r="I185" s="3" t="n">
        <x:v>14.1</x:v>
      </x:c>
    </x:row>
    <x:row r="186">
      <x:c r="A186" t="n">
        <x:v>185</x:v>
      </x:c>
      <x:c r="B186" s="2" t="n">
        <x:v>45946.49305555555</x:v>
      </x:c>
      <x:c r="C186" t="inlineStr">
        <x:is>
          <x:t xml:space="preserve">Lisbon</x:t>
        </x:is>
      </x:c>
      <x:c r="D186" s="3" t="n">
        <x:v>20.3</x:v>
      </x:c>
      <x:c r="E186" s="3" t="n">
        <x:v>20.7</x:v>
      </x:c>
      <x:c r="F186" s="4" t="n">
        <x:v>77</x:v>
      </x:c>
      <x:c r="G186" s="4" t="n">
        <x:v>1010</x:v>
      </x:c>
      <x:c r="H186" t="inlineStr">
        <x:is>
          <x:t xml:space="preserve">scattered clouds</x:t>
        </x:is>
      </x:c>
      <x:c r="I186" s="3" t="n">
        <x:v>16.8</x:v>
      </x:c>
    </x:row>
    <x:row r="187">
      <x:c r="A187" t="n">
        <x:v>186</x:v>
      </x:c>
      <x:c r="B187" s="2" t="n">
        <x:v>45947.61111111111</x:v>
      </x:c>
      <x:c r="C187" t="inlineStr">
        <x:is>
          <x:t xml:space="preserve">Lisbon</x:t>
        </x:is>
      </x:c>
      <x:c r="D187" s="3" t="n">
        <x:v>24.9</x:v>
      </x:c>
      <x:c r="E187" s="3" t="n">
        <x:v>24.6</x:v>
      </x:c>
      <x:c r="F187" s="4" t="n">
        <x:v>73</x:v>
      </x:c>
      <x:c r="G187" s="4" t="n">
        <x:v>1018</x:v>
      </x:c>
      <x:c r="H187" t="inlineStr">
        <x:is>
          <x:t xml:space="preserve">clear sky</x:t>
        </x:is>
      </x:c>
      <x:c r="I187" s="3" t="n">
        <x:v>15.5</x:v>
      </x:c>
    </x:row>
    <x:row r="188">
      <x:c r="A188" t="n">
        <x:v>187</x:v>
      </x:c>
      <x:c r="B188" s="2" t="n">
        <x:v>45948.89583333334</x:v>
      </x:c>
      <x:c r="C188" t="inlineStr">
        <x:is>
          <x:t xml:space="preserve">Lisbon</x:t>
        </x:is>
      </x:c>
      <x:c r="D188" s="3" t="n">
        <x:v>19.3</x:v>
      </x:c>
      <x:c r="E188" s="3" t="n">
        <x:v>20</x:v>
      </x:c>
      <x:c r="F188" s="4" t="n">
        <x:v>83</x:v>
      </x:c>
      <x:c r="G188" s="4" t="n">
        <x:v>1011</x:v>
      </x:c>
      <x:c r="H188" t="inlineStr">
        <x:is>
          <x:t xml:space="preserve">thunderstorm</x:t>
        </x:is>
      </x:c>
      <x:c r="I188" s="3" t="n">
        <x:v>23.5</x:v>
      </x:c>
    </x:row>
    <x:row r="189">
      <x:c r="A189" t="n">
        <x:v>188</x:v>
      </x:c>
      <x:c r="B189" s="2" t="n">
        <x:v>45949.82638888889</x:v>
      </x:c>
      <x:c r="C189" t="inlineStr">
        <x:is>
          <x:t xml:space="preserve">Lisbon</x:t>
        </x:is>
      </x:c>
      <x:c r="D189" s="3" t="n">
        <x:v>23.1</x:v>
      </x:c>
      <x:c r="E189" s="3" t="n">
        <x:v>23</x:v>
      </x:c>
      <x:c r="F189" s="4" t="n">
        <x:v>57</x:v>
      </x:c>
      <x:c r="G189" s="4" t="n">
        <x:v>1020</x:v>
      </x:c>
      <x:c r="H189" t="inlineStr">
        <x:is>
          <x:t xml:space="preserve">clear sky</x:t>
        </x:is>
      </x:c>
      <x:c r="I189" s="3" t="n">
        <x:v>14.9</x:v>
      </x:c>
    </x:row>
    <x:row r="190">
      <x:c r="A190" t="n">
        <x:v>189</x:v>
      </x:c>
      <x:c r="B190" s="2" t="n">
        <x:v>45950.59722222222</x:v>
      </x:c>
      <x:c r="C190" t="inlineStr">
        <x:is>
          <x:t xml:space="preserve">Lisbon</x:t>
        </x:is>
      </x:c>
      <x:c r="D190" s="3" t="n">
        <x:v>19.8</x:v>
      </x:c>
      <x:c r="E190" s="3" t="n">
        <x:v>18.7</x:v>
      </x:c>
      <x:c r="F190" s="4" t="n">
        <x:v>54</x:v>
      </x:c>
      <x:c r="G190" s="4" t="n">
        <x:v>1014</x:v>
      </x:c>
      <x:c r="H190" t="inlineStr">
        <x:is>
          <x:t xml:space="preserve">clear sky</x:t>
        </x:is>
      </x:c>
      <x:c r="I190" s="3" t="n">
        <x:v>14.9</x:v>
      </x:c>
    </x:row>
    <x:row r="191">
      <x:c r="A191" t="n">
        <x:v>190</x:v>
      </x:c>
      <x:c r="B191" s="2" t="n">
        <x:v>45951.54166666666</x:v>
      </x:c>
      <x:c r="C191" t="inlineStr">
        <x:is>
          <x:t xml:space="preserve">Lisbon</x:t>
        </x:is>
      </x:c>
      <x:c r="D191" s="3" t="n">
        <x:v>20</x:v>
      </x:c>
      <x:c r="E191" s="3" t="n">
        <x:v>20.6</x:v>
      </x:c>
      <x:c r="F191" s="4" t="n">
        <x:v>67</x:v>
      </x:c>
      <x:c r="G191" s="4" t="n">
        <x:v>1018</x:v>
      </x:c>
      <x:c r="H191" t="inlineStr">
        <x:is>
          <x:t xml:space="preserve">clear sky</x:t>
        </x:is>
      </x:c>
      <x:c r="I191" s="3" t="n">
        <x:v>15.6</x:v>
      </x:c>
    </x:row>
    <x:row r="192">
      <x:c r="A192" t="n">
        <x:v>191</x:v>
      </x:c>
      <x:c r="B192" s="2" t="n">
        <x:v>45952.60416666666</x:v>
      </x:c>
      <x:c r="C192" t="inlineStr">
        <x:is>
          <x:t xml:space="preserve">Lisbon</x:t>
        </x:is>
      </x:c>
      <x:c r="D192" s="3" t="n">
        <x:v>20.9</x:v>
      </x:c>
      <x:c r="E192" s="3" t="n">
        <x:v>20</x:v>
      </x:c>
      <x:c r="F192" s="4" t="n">
        <x:v>77</x:v>
      </x:c>
      <x:c r="G192" s="4" t="n">
        <x:v>1014</x:v>
      </x:c>
      <x:c r="H192" t="inlineStr">
        <x:is>
          <x:t xml:space="preserve">scattered clouds</x:t>
        </x:is>
      </x:c>
      <x:c r="I192" s="3" t="n">
        <x:v>22.4</x:v>
      </x:c>
    </x:row>
    <x:row r="193">
      <x:c r="A193" t="n">
        <x:v>192</x:v>
      </x:c>
      <x:c r="B193" s="2" t="n">
        <x:v>45953.5625</x:v>
      </x:c>
      <x:c r="C193" t="inlineStr">
        <x:is>
          <x:t xml:space="preserve">Lisbon</x:t>
        </x:is>
      </x:c>
      <x:c r="D193" s="3" t="n">
        <x:v>17.2</x:v>
      </x:c>
      <x:c r="E193" s="3" t="n">
        <x:v>18.3</x:v>
      </x:c>
      <x:c r="F193" s="4" t="n">
        <x:v>83</x:v>
      </x:c>
      <x:c r="G193" s="4" t="n">
        <x:v>1012</x:v>
      </x:c>
      <x:c r="H193" t="inlineStr">
        <x:is>
          <x:t xml:space="preserve">broken clouds</x:t>
        </x:is>
      </x:c>
      <x:c r="I193" s="3" t="n">
        <x:v>23.6</x:v>
      </x:c>
    </x:row>
    <x:row r="194">
      <x:c r="A194" t="n">
        <x:v>193</x:v>
      </x:c>
      <x:c r="B194" s="2" t="n">
        <x:v>45954.76388888889</x:v>
      </x:c>
      <x:c r="C194" t="inlineStr">
        <x:is>
          <x:t xml:space="preserve">Lisbon</x:t>
        </x:is>
      </x:c>
      <x:c r="D194" s="3" t="n">
        <x:v>20.4</x:v>
      </x:c>
      <x:c r="E194" s="3" t="n">
        <x:v>20.6</x:v>
      </x:c>
      <x:c r="F194" s="4" t="n">
        <x:v>63</x:v>
      </x:c>
      <x:c r="G194" s="4" t="n">
        <x:v>1017</x:v>
      </x:c>
      <x:c r="H194" t="inlineStr">
        <x:is>
          <x:t xml:space="preserve">clear sky</x:t>
        </x:is>
      </x:c>
      <x:c r="I194" s="3" t="n">
        <x:v>16</x:v>
      </x:c>
    </x:row>
    <x:row r="195">
      <x:c r="A195" t="n">
        <x:v>194</x:v>
      </x:c>
      <x:c r="B195" s="2" t="n">
        <x:v>45955.27083333334</x:v>
      </x:c>
      <x:c r="C195" t="inlineStr">
        <x:is>
          <x:t xml:space="preserve">Lisbon</x:t>
        </x:is>
      </x:c>
      <x:c r="D195" s="3" t="n">
        <x:v>18.7</x:v>
      </x:c>
      <x:c r="E195" s="3" t="n">
        <x:v>18.5</x:v>
      </x:c>
      <x:c r="F195" s="4" t="n">
        <x:v>59</x:v>
      </x:c>
      <x:c r="G195" s="4" t="n">
        <x:v>1014</x:v>
      </x:c>
      <x:c r="H195" t="inlineStr">
        <x:is>
          <x:t xml:space="preserve">clear sky</x:t>
        </x:is>
      </x:c>
      <x:c r="I195" s="3" t="n">
        <x:v>15.5</x:v>
      </x:c>
    </x:row>
    <x:row r="196">
      <x:c r="A196" t="n">
        <x:v>195</x:v>
      </x:c>
      <x:c r="B196" s="2" t="n">
        <x:v>45956.67361111111</x:v>
      </x:c>
      <x:c r="C196" t="inlineStr">
        <x:is>
          <x:t xml:space="preserve">Lisbon</x:t>
        </x:is>
      </x:c>
      <x:c r="D196" s="3" t="n">
        <x:v>20.6</x:v>
      </x:c>
      <x:c r="E196" s="3" t="n">
        <x:v>21.8</x:v>
      </x:c>
      <x:c r="F196" s="4" t="n">
        <x:v>63</x:v>
      </x:c>
      <x:c r="G196" s="4" t="n">
        <x:v>1021</x:v>
      </x:c>
      <x:c r="H196" t="inlineStr">
        <x:is>
          <x:t xml:space="preserve">few clouds</x:t>
        </x:is>
      </x:c>
      <x:c r="I196" s="3" t="n">
        <x:v>17.7</x:v>
      </x:c>
    </x:row>
    <x:row r="197">
      <x:c r="A197" t="n">
        <x:v>196</x:v>
      </x:c>
      <x:c r="B197" s="2" t="n">
        <x:v>45957.88194444445</x:v>
      </x:c>
      <x:c r="C197" t="inlineStr">
        <x:is>
          <x:t xml:space="preserve">Lisbon</x:t>
        </x:is>
      </x:c>
      <x:c r="D197" s="3" t="n">
        <x:v>21.5</x:v>
      </x:c>
      <x:c r="E197" s="3" t="n">
        <x:v>21.2</x:v>
      </x:c>
      <x:c r="F197" s="4" t="n">
        <x:v>92</x:v>
      </x:c>
      <x:c r="G197" s="4" t="n">
        <x:v>1014</x:v>
      </x:c>
      <x:c r="H197" t="inlineStr">
        <x:is>
          <x:t xml:space="preserve">few clouds</x:t>
        </x:is>
      </x:c>
      <x:c r="I197" s="3" t="n">
        <x:v>13.9</x:v>
      </x:c>
    </x:row>
    <x:row r="198">
      <x:c r="A198" t="n">
        <x:v>197</x:v>
      </x:c>
      <x:c r="B198" s="2" t="n">
        <x:v>45958.72222222222</x:v>
      </x:c>
      <x:c r="C198" t="inlineStr">
        <x:is>
          <x:t xml:space="preserve">Lisbon</x:t>
        </x:is>
      </x:c>
      <x:c r="D198" s="3" t="n">
        <x:v>22.3</x:v>
      </x:c>
      <x:c r="E198" s="3" t="n">
        <x:v>21.3</x:v>
      </x:c>
      <x:c r="F198" s="4" t="n">
        <x:v>52</x:v>
      </x:c>
      <x:c r="G198" s="4" t="n">
        <x:v>1015</x:v>
      </x:c>
      <x:c r="H198" t="inlineStr">
        <x:is>
          <x:t xml:space="preserve">clear sky</x:t>
        </x:is>
      </x:c>
      <x:c r="I198" s="3" t="n">
        <x:v>14.1</x:v>
      </x:c>
    </x:row>
    <x:row r="199">
      <x:c r="A199" t="n">
        <x:v>198</x:v>
      </x:c>
      <x:c r="B199" s="2" t="n">
        <x:v>45959.68055555555</x:v>
      </x:c>
      <x:c r="C199" t="inlineStr">
        <x:is>
          <x:t xml:space="preserve">Lisbon</x:t>
        </x:is>
      </x:c>
      <x:c r="D199" s="3" t="n">
        <x:v>21.1</x:v>
      </x:c>
      <x:c r="E199" s="3" t="n">
        <x:v>21.5</x:v>
      </x:c>
      <x:c r="F199" s="4" t="n">
        <x:v>63</x:v>
      </x:c>
      <x:c r="G199" s="4" t="n">
        <x:v>1009</x:v>
      </x:c>
      <x:c r="H199" t="inlineStr">
        <x:is>
          <x:t xml:space="preserve">scattered clouds</x:t>
        </x:is>
      </x:c>
      <x:c r="I199" s="3" t="n">
        <x:v>19.7</x:v>
      </x:c>
    </x:row>
    <x:row r="200">
      <x:c r="A200" t="n">
        <x:v>199</x:v>
      </x:c>
      <x:c r="B200" s="2" t="n">
        <x:v>45960.61111111111</x:v>
      </x:c>
      <x:c r="C200" t="inlineStr">
        <x:is>
          <x:t xml:space="preserve">Lisbon</x:t>
        </x:is>
      </x:c>
      <x:c r="D200" s="3" t="n">
        <x:v>21</x:v>
      </x:c>
      <x:c r="E200" s="3" t="n">
        <x:v>20.4</x:v>
      </x:c>
      <x:c r="F200" s="4" t="n">
        <x:v>64</x:v>
      </x:c>
      <x:c r="G200" s="4" t="n">
        <x:v>1015</x:v>
      </x:c>
      <x:c r="H200" t="inlineStr">
        <x:is>
          <x:t xml:space="preserve">clear sky</x:t>
        </x:is>
      </x:c>
      <x:c r="I200" s="3" t="n">
        <x:v>19.7</x:v>
      </x:c>
    </x:row>
    <x:row r="201">
      <x:c r="A201" t="n">
        <x:v>200</x:v>
      </x:c>
      <x:c r="B201" s="2" t="n">
        <x:v>45961.27777777778</x:v>
      </x:c>
      <x:c r="C201" t="inlineStr">
        <x:is>
          <x:t xml:space="preserve">Lisbon</x:t>
        </x:is>
      </x:c>
      <x:c r="D201" s="3" t="n">
        <x:v>19.1</x:v>
      </x:c>
      <x:c r="E201" s="3" t="n">
        <x:v>18.6</x:v>
      </x:c>
      <x:c r="F201" s="4" t="n">
        <x:v>82</x:v>
      </x:c>
      <x:c r="G201" s="4" t="n">
        <x:v>1009</x:v>
      </x:c>
      <x:c r="H201" t="inlineStr">
        <x:is>
          <x:t xml:space="preserve">scattered clouds</x:t>
        </x:is>
      </x:c>
      <x:c r="I201" s="3" t="n">
        <x:v>15.7</x:v>
      </x:c>
    </x:row>
    <x:row r="202">
      <x:c r="A202" t="n">
        <x:v>201</x:v>
      </x:c>
      <x:c r="B202" s="2" t="n">
        <x:v>45962.5</x:v>
      </x:c>
      <x:c r="C202" t="inlineStr">
        <x:is>
          <x:t xml:space="preserve">Lisbon</x:t>
        </x:is>
      </x:c>
      <x:c r="D202" s="3" t="n">
        <x:v>17.7</x:v>
      </x:c>
      <x:c r="E202" s="3" t="n">
        <x:v>18.6</x:v>
      </x:c>
      <x:c r="F202" s="4" t="n">
        <x:v>76</x:v>
      </x:c>
      <x:c r="G202" s="4" t="n">
        <x:v>1017</x:v>
      </x:c>
      <x:c r="H202" t="inlineStr">
        <x:is>
          <x:t xml:space="preserve">clear sky</x:t>
        </x:is>
      </x:c>
      <x:c r="I202" s="3" t="n">
        <x:v>13.7</x:v>
      </x:c>
    </x:row>
    <x:row r="203">
      <x:c r="A203" t="n">
        <x:v>202</x:v>
      </x:c>
      <x:c r="B203" s="2" t="n">
        <x:v>45963.57638888889</x:v>
      </x:c>
      <x:c r="C203" t="inlineStr">
        <x:is>
          <x:t xml:space="preserve">Lisbon</x:t>
        </x:is>
      </x:c>
      <x:c r="D203" s="3" t="n">
        <x:v>14.9</x:v>
      </x:c>
      <x:c r="E203" s="3" t="n">
        <x:v>14.5</x:v>
      </x:c>
      <x:c r="F203" s="4" t="n">
        <x:v>70</x:v>
      </x:c>
      <x:c r="G203" s="4" t="n">
        <x:v>1012</x:v>
      </x:c>
      <x:c r="H203" t="inlineStr">
        <x:is>
          <x:t xml:space="preserve">clear sky</x:t>
        </x:is>
      </x:c>
      <x:c r="I203" s="3" t="n">
        <x:v>15</x:v>
      </x:c>
    </x:row>
    <x:row r="204">
      <x:c r="A204" t="n">
        <x:v>203</x:v>
      </x:c>
      <x:c r="B204" s="2" t="n">
        <x:v>45964.8125</x:v>
      </x:c>
      <x:c r="C204" t="inlineStr">
        <x:is>
          <x:t xml:space="preserve">Lisbon</x:t>
        </x:is>
      </x:c>
      <x:c r="D204" s="3" t="n">
        <x:v>23.4</x:v>
      </x:c>
      <x:c r="E204" s="3" t="n">
        <x:v>24.1</x:v>
      </x:c>
      <x:c r="F204" s="4" t="n">
        <x:v>67</x:v>
      </x:c>
      <x:c r="G204" s="4" t="n">
        <x:v>1021</x:v>
      </x:c>
      <x:c r="H204" t="inlineStr">
        <x:is>
          <x:t xml:space="preserve">clear sky</x:t>
        </x:is>
      </x:c>
      <x:c r="I204" s="3" t="n">
        <x:v>20.5</x:v>
      </x:c>
    </x:row>
    <x:row r="205">
      <x:c r="A205" t="n">
        <x:v>204</x:v>
      </x:c>
      <x:c r="B205" s="2" t="n">
        <x:v>45965.57638888889</x:v>
      </x:c>
      <x:c r="C205" t="inlineStr">
        <x:is>
          <x:t xml:space="preserve">Lisbon</x:t>
        </x:is>
      </x:c>
      <x:c r="D205" s="3" t="n">
        <x:v>17.3</x:v>
      </x:c>
      <x:c r="E205" s="3" t="n">
        <x:v>16.9</x:v>
      </x:c>
      <x:c r="F205" s="4" t="n">
        <x:v>70</x:v>
      </x:c>
      <x:c r="G205" s="4" t="n">
        <x:v>1016</x:v>
      </x:c>
      <x:c r="H205" t="inlineStr">
        <x:is>
          <x:t xml:space="preserve">clear sky</x:t>
        </x:is>
      </x:c>
      <x:c r="I205" s="3" t="n">
        <x:v>16.1</x:v>
      </x:c>
    </x:row>
    <x:row r="206">
      <x:c r="A206" t="n">
        <x:v>205</x:v>
      </x:c>
      <x:c r="B206" s="2" t="n">
        <x:v>45966.90972222222</x:v>
      </x:c>
      <x:c r="C206" t="inlineStr">
        <x:is>
          <x:t xml:space="preserve">Lisbon</x:t>
        </x:is>
      </x:c>
      <x:c r="D206" s="3" t="n">
        <x:v>21.9</x:v>
      </x:c>
      <x:c r="E206" s="3" t="n">
        <x:v>23.1</x:v>
      </x:c>
      <x:c r="F206" s="4" t="n">
        <x:v>62</x:v>
      </x:c>
      <x:c r="G206" s="4" t="n">
        <x:v>1012</x:v>
      </x:c>
      <x:c r="H206" t="inlineStr">
        <x:is>
          <x:t xml:space="preserve">overcast clouds</x:t>
        </x:is>
      </x:c>
      <x:c r="I206" s="3" t="n">
        <x:v>15.5</x:v>
      </x:c>
    </x:row>
    <x:row r="207">
      <x:c r="A207" t="n">
        <x:v>206</x:v>
      </x:c>
      <x:c r="B207" s="2" t="n">
        <x:v>45967.89583333334</x:v>
      </x:c>
      <x:c r="C207" t="inlineStr">
        <x:is>
          <x:t xml:space="preserve">Lisbon</x:t>
        </x:is>
      </x:c>
      <x:c r="D207" s="3" t="n">
        <x:v>19.5</x:v>
      </x:c>
      <x:c r="E207" s="3" t="n">
        <x:v>19.1</x:v>
      </x:c>
      <x:c r="F207" s="4" t="n">
        <x:v>74</x:v>
      </x:c>
      <x:c r="G207" s="4" t="n">
        <x:v>1010</x:v>
      </x:c>
      <x:c r="H207" t="inlineStr">
        <x:is>
          <x:t xml:space="preserve">moderate rain</x:t>
        </x:is>
      </x:c>
      <x:c r="I207" s="3" t="n">
        <x:v>27.1</x:v>
      </x:c>
    </x:row>
    <x:row r="208">
      <x:c r="A208" t="n">
        <x:v>207</x:v>
      </x:c>
      <x:c r="B208" s="2" t="n">
        <x:v>45968.25</x:v>
      </x:c>
      <x:c r="C208" t="inlineStr">
        <x:is>
          <x:t xml:space="preserve">Lisbon</x:t>
        </x:is>
      </x:c>
      <x:c r="D208" s="3" t="n">
        <x:v>18.3</x:v>
      </x:c>
      <x:c r="E208" s="3" t="n">
        <x:v>17.2</x:v>
      </x:c>
      <x:c r="F208" s="4" t="n">
        <x:v>60</x:v>
      </x:c>
      <x:c r="G208" s="4" t="n">
        <x:v>1014</x:v>
      </x:c>
      <x:c r="H208" t="inlineStr">
        <x:is>
          <x:t xml:space="preserve">clear sky</x:t>
        </x:is>
      </x:c>
      <x:c r="I208" s="3" t="n">
        <x:v>16.7</x:v>
      </x:c>
    </x:row>
    <x:row r="209">
      <x:c r="A209" t="n">
        <x:v>208</x:v>
      </x:c>
      <x:c r="B209" s="2" t="n">
        <x:v>45970.63194444445</x:v>
      </x:c>
      <x:c r="C209" t="inlineStr">
        <x:is>
          <x:t xml:space="preserve">Lisbon</x:t>
        </x:is>
      </x:c>
      <x:c r="D209" s="3" t="n">
        <x:v>19.5</x:v>
      </x:c>
      <x:c r="E209" s="3" t="n">
        <x:v>20.5</x:v>
      </x:c>
      <x:c r="F209" s="4" t="n">
        <x:v>72</x:v>
      </x:c>
      <x:c r="G209" s="4" t="n">
        <x:v>1018</x:v>
      </x:c>
      <x:c r="H209" t="inlineStr">
        <x:is>
          <x:t xml:space="preserve">clear sky</x:t>
        </x:is>
      </x:c>
      <x:c r="I209" s="3" t="n">
        <x:v>17.4</x:v>
      </x:c>
    </x:row>
    <x:row r="210">
      <x:c r="A210" t="n">
        <x:v>209</x:v>
      </x:c>
      <x:c r="B210" s="2" t="n">
        <x:v>45971.78472222222</x:v>
      </x:c>
      <x:c r="C210" t="inlineStr">
        <x:is>
          <x:t xml:space="preserve">Lisbon</x:t>
        </x:is>
      </x:c>
      <x:c r="D210" s="3" t="n">
        <x:v>20.2</x:v>
      </x:c>
      <x:c r="E210" s="3" t="n">
        <x:v>20.4</x:v>
      </x:c>
      <x:c r="F210" s="4" t="n">
        <x:v>75</x:v>
      </x:c>
      <x:c r="G210" s="4" t="n">
        <x:v>1009</x:v>
      </x:c>
      <x:c r="H210" t="inlineStr">
        <x:is>
          <x:t xml:space="preserve">drizzle</x:t>
        </x:is>
      </x:c>
      <x:c r="I210" s="3" t="n">
        <x:v>19.7</x:v>
      </x:c>
    </x:row>
    <x:row r="211">
      <x:c r="A211" t="n">
        <x:v>210</x:v>
      </x:c>
      <x:c r="B211" s="2" t="n">
        <x:v>45972.55555555555</x:v>
      </x:c>
      <x:c r="C211" t="inlineStr">
        <x:is>
          <x:t xml:space="preserve">Lisbon</x:t>
        </x:is>
      </x:c>
      <x:c r="D211" s="3" t="n">
        <x:v>16</x:v>
      </x:c>
      <x:c r="E211" s="3" t="n">
        <x:v>16.3</x:v>
      </x:c>
      <x:c r="F211" s="4" t="n">
        <x:v>81</x:v>
      </x:c>
      <x:c r="G211" s="4" t="n">
        <x:v>1006</x:v>
      </x:c>
      <x:c r="H211" t="inlineStr">
        <x:is>
          <x:t xml:space="preserve">light rain</x:t>
        </x:is>
      </x:c>
      <x:c r="I211" s="3" t="n">
        <x:v>24.5</x:v>
      </x:c>
    </x:row>
    <x:row r="212">
      <x:c r="A212" t="n">
        <x:v>211</x:v>
      </x:c>
      <x:c r="B212" s="2" t="n">
        <x:v>45973.72916666666</x:v>
      </x:c>
      <x:c r="C212" t="inlineStr">
        <x:is>
          <x:t xml:space="preserve">Lisbon</x:t>
        </x:is>
      </x:c>
      <x:c r="D212" s="3" t="n">
        <x:v>17.5</x:v>
      </x:c>
      <x:c r="E212" s="3" t="n">
        <x:v>17</x:v>
      </x:c>
      <x:c r="F212" s="4" t="n">
        <x:v>62</x:v>
      </x:c>
      <x:c r="G212" s="4" t="n">
        <x:v>1016</x:v>
      </x:c>
      <x:c r="H212" t="inlineStr">
        <x:is>
          <x:t xml:space="preserve">clear sky</x:t>
        </x:is>
      </x:c>
      <x:c r="I212" s="3" t="n">
        <x:v>18.8</x:v>
      </x:c>
    </x:row>
    <x:row r="213">
      <x:c r="A213" t="n">
        <x:v>212</x:v>
      </x:c>
      <x:c r="B213" s="2" t="n">
        <x:v>45974.72916666666</x:v>
      </x:c>
      <x:c r="C213" t="inlineStr">
        <x:is>
          <x:t xml:space="preserve">Lisbon</x:t>
        </x:is>
      </x:c>
      <x:c r="D213" s="3" t="n">
        <x:v>21.4</x:v>
      </x:c>
      <x:c r="E213" s="3" t="n">
        <x:v>20.4</x:v>
      </x:c>
      <x:c r="F213" s="4" t="n">
        <x:v>71</x:v>
      </x:c>
      <x:c r="G213" s="4" t="n">
        <x:v>1016</x:v>
      </x:c>
      <x:c r="H213" t="inlineStr">
        <x:is>
          <x:t xml:space="preserve">overcast clouds</x:t>
        </x:is>
      </x:c>
      <x:c r="I213" s="3" t="n">
        <x:v>20.7</x:v>
      </x:c>
    </x:row>
    <x:row r="214">
      <x:c r="A214" t="n">
        <x:v>213</x:v>
      </x:c>
      <x:c r="B214" s="2" t="n">
        <x:v>45975.68055555555</x:v>
      </x:c>
      <x:c r="C214" t="inlineStr">
        <x:is>
          <x:t xml:space="preserve">Lisbon</x:t>
        </x:is>
      </x:c>
      <x:c r="D214" s="3" t="n">
        <x:v>20.6</x:v>
      </x:c>
      <x:c r="E214" s="3" t="n">
        <x:v>20.1</x:v>
      </x:c>
      <x:c r="F214" s="4" t="n">
        <x:v>77</x:v>
      </x:c>
      <x:c r="G214" s="4" t="n">
        <x:v>1011</x:v>
      </x:c>
      <x:c r="H214" t="inlineStr">
        <x:is>
          <x:t xml:space="preserve">few clouds</x:t>
        </x:is>
      </x:c>
      <x:c r="I214" s="3" t="n">
        <x:v>15.2</x:v>
      </x:c>
    </x:row>
    <x:row r="215">
      <x:c r="A215" t="n">
        <x:v>214</x:v>
      </x:c>
      <x:c r="B215" s="2" t="n">
        <x:v>45976.84722222222</x:v>
      </x:c>
      <x:c r="C215" t="inlineStr">
        <x:is>
          <x:t xml:space="preserve">Lisbon</x:t>
        </x:is>
      </x:c>
      <x:c r="D215" s="3" t="n">
        <x:v>19</x:v>
      </x:c>
      <x:c r="E215" s="3" t="n">
        <x:v>18.1</x:v>
      </x:c>
      <x:c r="F215" s="4" t="n">
        <x:v>67</x:v>
      </x:c>
      <x:c r="G215" s="4" t="n">
        <x:v>1020</x:v>
      </x:c>
      <x:c r="H215" t="inlineStr">
        <x:is>
          <x:t xml:space="preserve">drizzle</x:t>
        </x:is>
      </x:c>
      <x:c r="I215" s="3" t="n">
        <x:v>26</x:v>
      </x:c>
    </x:row>
    <x:row r="216">
      <x:c r="A216" t="n">
        <x:v>215</x:v>
      </x:c>
      <x:c r="B216" s="2" t="n">
        <x:v>45977.63888888889</x:v>
      </x:c>
      <x:c r="C216" t="inlineStr">
        <x:is>
          <x:t xml:space="preserve">Lisbon</x:t>
        </x:is>
      </x:c>
      <x:c r="D216" s="3" t="n">
        <x:v>17.1</x:v>
      </x:c>
      <x:c r="E216" s="3" t="n">
        <x:v>18.1</x:v>
      </x:c>
      <x:c r="F216" s="4" t="n">
        <x:v>70</x:v>
      </x:c>
      <x:c r="G216" s="4" t="n">
        <x:v>1026</x:v>
      </x:c>
      <x:c r="H216" t="inlineStr">
        <x:is>
          <x:t xml:space="preserve">clear sky</x:t>
        </x:is>
      </x:c>
      <x:c r="I216" s="3" t="n">
        <x:v>21.8</x:v>
      </x:c>
    </x:row>
    <x:row r="217">
      <x:c r="A217" t="n">
        <x:v>216</x:v>
      </x:c>
      <x:c r="B217" s="2" t="n">
        <x:v>45978.54166666666</x:v>
      </x:c>
      <x:c r="C217" t="inlineStr">
        <x:is>
          <x:t xml:space="preserve">Lisbon</x:t>
        </x:is>
      </x:c>
      <x:c r="D217" s="3" t="n">
        <x:v>17.7</x:v>
      </x:c>
      <x:c r="E217" s="3" t="n">
        <x:v>18.8</x:v>
      </x:c>
      <x:c r="F217" s="4" t="n">
        <x:v>65</x:v>
      </x:c>
      <x:c r="G217" s="4" t="n">
        <x:v>1012</x:v>
      </x:c>
      <x:c r="H217" t="inlineStr">
        <x:is>
          <x:t xml:space="preserve">drizzle</x:t>
        </x:is>
      </x:c>
      <x:c r="I217" s="3" t="n">
        <x:v>17.2</x:v>
      </x:c>
    </x:row>
    <x:row r="218">
      <x:c r="A218" t="n">
        <x:v>217</x:v>
      </x:c>
      <x:c r="B218" s="2" t="n">
        <x:v>45979.51388888889</x:v>
      </x:c>
      <x:c r="C218" t="inlineStr">
        <x:is>
          <x:t xml:space="preserve">Lisbon</x:t>
        </x:is>
      </x:c>
      <x:c r="D218" s="3" t="n">
        <x:v>10.4</x:v>
      </x:c>
      <x:c r="E218" s="3" t="n">
        <x:v>8.9</x:v>
      </x:c>
      <x:c r="F218" s="4" t="n">
        <x:v>84</x:v>
      </x:c>
      <x:c r="G218" s="4" t="n">
        <x:v>1010</x:v>
      </x:c>
      <x:c r="H218" t="inlineStr">
        <x:is>
          <x:t xml:space="preserve">moderate rain</x:t>
        </x:is>
      </x:c>
      <x:c r="I218" s="3" t="n">
        <x:v>24.3</x:v>
      </x:c>
    </x:row>
    <x:row r="219">
      <x:c r="A219" t="n">
        <x:v>218</x:v>
      </x:c>
      <x:c r="B219" s="2" t="n">
        <x:v>45980.40972222222</x:v>
      </x:c>
      <x:c r="C219" t="inlineStr">
        <x:is>
          <x:t xml:space="preserve">Lisbon</x:t>
        </x:is>
      </x:c>
      <x:c r="D219" s="3" t="n">
        <x:v>15.5</x:v>
      </x:c>
      <x:c r="E219" s="3" t="n">
        <x:v>15.6</x:v>
      </x:c>
      <x:c r="F219" s="4" t="n">
        <x:v>65</x:v>
      </x:c>
      <x:c r="G219" s="4" t="n">
        <x:v>1020</x:v>
      </x:c>
      <x:c r="H219" t="inlineStr">
        <x:is>
          <x:t xml:space="preserve">clear sky</x:t>
        </x:is>
      </x:c>
      <x:c r="I219" s="3" t="n">
        <x:v>20.3</x:v>
      </x:c>
    </x:row>
    <x:row r="220">
      <x:c r="A220" t="n">
        <x:v>219</x:v>
      </x:c>
      <x:c r="B220" s="2" t="n">
        <x:v>45981.46527777778</x:v>
      </x:c>
      <x:c r="C220" t="inlineStr">
        <x:is>
          <x:t xml:space="preserve">Lisbon</x:t>
        </x:is>
      </x:c>
      <x:c r="D220" s="3" t="n">
        <x:v>15.7</x:v>
      </x:c>
      <x:c r="E220" s="3" t="n">
        <x:v>16.2</x:v>
      </x:c>
      <x:c r="F220" s="4" t="n">
        <x:v>82</x:v>
      </x:c>
      <x:c r="G220" s="4" t="n">
        <x:v>1022</x:v>
      </x:c>
      <x:c r="H220" t="inlineStr">
        <x:is>
          <x:t xml:space="preserve">clear sky</x:t>
        </x:is>
      </x:c>
      <x:c r="I220" s="3" t="n">
        <x:v>17.5</x:v>
      </x:c>
    </x:row>
    <x:row r="221">
      <x:c r="A221" t="n">
        <x:v>220</x:v>
      </x:c>
      <x:c r="B221" s="2" t="n">
        <x:v>45982.53472222222</x:v>
      </x:c>
      <x:c r="C221" t="inlineStr">
        <x:is>
          <x:t xml:space="preserve">Lisbon</x:t>
        </x:is>
      </x:c>
      <x:c r="D221" s="3" t="n">
        <x:v>18</x:v>
      </x:c>
      <x:c r="E221" s="3" t="n">
        <x:v>18</x:v>
      </x:c>
      <x:c r="F221" s="4" t="n">
        <x:v>98</x:v>
      </x:c>
      <x:c r="G221" s="4" t="n">
        <x:v>1007</x:v>
      </x:c>
      <x:c r="H221" t="inlineStr">
        <x:is>
          <x:t xml:space="preserve">drizzle</x:t>
        </x:is>
      </x:c>
      <x:c r="I221" s="3" t="n">
        <x:v>21.9</x:v>
      </x:c>
    </x:row>
    <x:row r="222">
      <x:c r="A222" t="n">
        <x:v>221</x:v>
      </x:c>
      <x:c r="B222" s="2" t="n">
        <x:v>45983.88888888889</x:v>
      </x:c>
      <x:c r="C222" t="inlineStr">
        <x:is>
          <x:t xml:space="preserve">Lisbon</x:t>
        </x:is>
      </x:c>
      <x:c r="D222" s="3" t="n">
        <x:v>20</x:v>
      </x:c>
      <x:c r="E222" s="3" t="n">
        <x:v>20.2</x:v>
      </x:c>
      <x:c r="F222" s="4" t="n">
        <x:v>75</x:v>
      </x:c>
      <x:c r="G222" s="4" t="n">
        <x:v>1012</x:v>
      </x:c>
      <x:c r="H222" t="inlineStr">
        <x:is>
          <x:t xml:space="preserve">scattered clouds</x:t>
        </x:is>
      </x:c>
      <x:c r="I222" s="3" t="n">
        <x:v>19.4</x:v>
      </x:c>
    </x:row>
    <x:row r="223">
      <x:c r="A223" t="n">
        <x:v>222</x:v>
      </x:c>
      <x:c r="B223" s="2" t="n">
        <x:v>45984.625</x:v>
      </x:c>
      <x:c r="C223" t="inlineStr">
        <x:is>
          <x:t xml:space="preserve">Lisbon</x:t>
        </x:is>
      </x:c>
      <x:c r="D223" s="3" t="n">
        <x:v>15.6</x:v>
      </x:c>
      <x:c r="E223" s="3" t="n">
        <x:v>15.2</x:v>
      </x:c>
      <x:c r="F223" s="4" t="n">
        <x:v>68</x:v>
      </x:c>
      <x:c r="G223" s="4" t="n">
        <x:v>1013</x:v>
      </x:c>
      <x:c r="H223" t="inlineStr">
        <x:is>
          <x:t xml:space="preserve">clear sky</x:t>
        </x:is>
      </x:c>
      <x:c r="I223" s="3" t="n">
        <x:v>16.5</x:v>
      </x:c>
    </x:row>
    <x:row r="224">
      <x:c r="A224" t="n">
        <x:v>223</x:v>
      </x:c>
      <x:c r="B224" s="2" t="n">
        <x:v>45985.51388888889</x:v>
      </x:c>
      <x:c r="C224" t="inlineStr">
        <x:is>
          <x:t xml:space="preserve">Lisbon</x:t>
        </x:is>
      </x:c>
      <x:c r="D224" s="3" t="n">
        <x:v>16</x:v>
      </x:c>
      <x:c r="E224" s="3" t="n">
        <x:v>17.2</x:v>
      </x:c>
      <x:c r="F224" s="4" t="n">
        <x:v>63</x:v>
      </x:c>
      <x:c r="G224" s="4" t="n">
        <x:v>1016</x:v>
      </x:c>
      <x:c r="H224" t="inlineStr">
        <x:is>
          <x:t xml:space="preserve">clear sky</x:t>
        </x:is>
      </x:c>
      <x:c r="I224" s="3" t="n">
        <x:v>18.3</x:v>
      </x:c>
    </x:row>
    <x:row r="225">
      <x:c r="A225" t="n">
        <x:v>224</x:v>
      </x:c>
      <x:c r="B225" s="2" t="n">
        <x:v>45986.55555555555</x:v>
      </x:c>
      <x:c r="C225" t="inlineStr">
        <x:is>
          <x:t xml:space="preserve">Lisbon</x:t>
        </x:is>
      </x:c>
      <x:c r="D225" s="3" t="n">
        <x:v>11.2</x:v>
      </x:c>
      <x:c r="E225" s="3" t="n">
        <x:v>9.1</x:v>
      </x:c>
      <x:c r="F225" s="4" t="n">
        <x:v>80</x:v>
      </x:c>
      <x:c r="G225" s="4" t="n">
        <x:v>1008</x:v>
      </x:c>
      <x:c r="H225" t="inlineStr">
        <x:is>
          <x:t xml:space="preserve">thunderstorm</x:t>
        </x:is>
      </x:c>
      <x:c r="I225" s="3" t="n">
        <x:v>32.1</x:v>
      </x:c>
    </x:row>
    <x:row r="226">
      <x:c r="A226" t="n">
        <x:v>225</x:v>
      </x:c>
      <x:c r="B226" s="2" t="n">
        <x:v>45987.47222222222</x:v>
      </x:c>
      <x:c r="C226" t="inlineStr">
        <x:is>
          <x:t xml:space="preserve">Lisbon</x:t>
        </x:is>
      </x:c>
      <x:c r="D226" s="3" t="n">
        <x:v>13.9</x:v>
      </x:c>
      <x:c r="E226" s="3" t="n">
        <x:v>14.3</x:v>
      </x:c>
      <x:c r="F226" s="4" t="n">
        <x:v>60</x:v>
      </x:c>
      <x:c r="G226" s="4" t="n">
        <x:v>1018</x:v>
      </x:c>
      <x:c r="H226" t="inlineStr">
        <x:is>
          <x:t xml:space="preserve">clear sky</x:t>
        </x:is>
      </x:c>
      <x:c r="I226" s="3" t="n">
        <x:v>20.6</x:v>
      </x:c>
    </x:row>
    <x:row r="227">
      <x:c r="A227" t="n">
        <x:v>226</x:v>
      </x:c>
      <x:c r="B227" s="2" t="n">
        <x:v>45988.28472222222</x:v>
      </x:c>
      <x:c r="C227" t="inlineStr">
        <x:is>
          <x:t xml:space="preserve">Lisbon</x:t>
        </x:is>
      </x:c>
      <x:c r="D227" s="3" t="n">
        <x:v>17.8</x:v>
      </x:c>
      <x:c r="E227" s="3" t="n">
        <x:v>17</x:v>
      </x:c>
      <x:c r="F227" s="4" t="n">
        <x:v>82</x:v>
      </x:c>
      <x:c r="G227" s="4" t="n">
        <x:v>1015</x:v>
      </x:c>
      <x:c r="H227" t="inlineStr">
        <x:is>
          <x:t xml:space="preserve">overcast clouds</x:t>
        </x:is>
      </x:c>
      <x:c r="I227" s="3" t="n">
        <x:v>15</x:v>
      </x:c>
    </x:row>
    <x:row r="228">
      <x:c r="A228" t="n">
        <x:v>227</x:v>
      </x:c>
      <x:c r="B228" s="2" t="n">
        <x:v>45989.43055555555</x:v>
      </x:c>
      <x:c r="C228" t="inlineStr">
        <x:is>
          <x:t xml:space="preserve">Lisbon</x:t>
        </x:is>
      </x:c>
      <x:c r="D228" s="3" t="n">
        <x:v>13</x:v>
      </x:c>
      <x:c r="E228" s="3" t="n">
        <x:v>12.1</x:v>
      </x:c>
      <x:c r="F228" s="4" t="n">
        <x:v>64</x:v>
      </x:c>
      <x:c r="G228" s="4" t="n">
        <x:v>1016</x:v>
      </x:c>
      <x:c r="H228" t="inlineStr">
        <x:is>
          <x:t xml:space="preserve">clear sky</x:t>
        </x:is>
      </x:c>
      <x:c r="I228" s="3" t="n">
        <x:v>25</x:v>
      </x:c>
    </x:row>
    <x:row r="229">
      <x:c r="A229" t="n">
        <x:v>228</x:v>
      </x:c>
      <x:c r="B229" s="2" t="n">
        <x:v>45990.29166666666</x:v>
      </x:c>
      <x:c r="C229" t="inlineStr">
        <x:is>
          <x:t xml:space="preserve">Lisbon</x:t>
        </x:is>
      </x:c>
      <x:c r="D229" s="3" t="n">
        <x:v>12.9</x:v>
      </x:c>
      <x:c r="E229" s="3" t="n">
        <x:v>13.3</x:v>
      </x:c>
      <x:c r="F229" s="4" t="n">
        <x:v>92</x:v>
      </x:c>
      <x:c r="G229" s="4" t="n">
        <x:v>1010</x:v>
      </x:c>
      <x:c r="H229" t="inlineStr">
        <x:is>
          <x:t xml:space="preserve">light rain</x:t>
        </x:is>
      </x:c>
      <x:c r="I229" s="3" t="n">
        <x:v>19.9</x:v>
      </x:c>
    </x:row>
    <x:row r="230">
      <x:c r="A230" t="n">
        <x:v>229</x:v>
      </x:c>
      <x:c r="B230" s="2" t="n">
        <x:v>45991.65972222222</x:v>
      </x:c>
      <x:c r="C230" t="inlineStr">
        <x:is>
          <x:t xml:space="preserve">Lisbon</x:t>
        </x:is>
      </x:c>
      <x:c r="D230" s="3" t="n">
        <x:v>18.1</x:v>
      </x:c>
      <x:c r="E230" s="3" t="n">
        <x:v>19.2</x:v>
      </x:c>
      <x:c r="F230" s="4" t="n">
        <x:v>68</x:v>
      </x:c>
      <x:c r="G230" s="4" t="n">
        <x:v>1016</x:v>
      </x:c>
      <x:c r="H230" t="inlineStr">
        <x:is>
          <x:t xml:space="preserve">few clouds</x:t>
        </x:is>
      </x:c>
      <x:c r="I230" s="3" t="n">
        <x:v>18.1</x:v>
      </x:c>
    </x:row>
    <x:row r="231">
      <x:c r="A231" t="n">
        <x:v>230</x:v>
      </x:c>
      <x:c r="B231" s="2" t="n">
        <x:v>45992.45138888889</x:v>
      </x:c>
      <x:c r="C231" t="inlineStr">
        <x:is>
          <x:t xml:space="preserve">Lisbon</x:t>
        </x:is>
      </x:c>
      <x:c r="D231" s="3" t="n">
        <x:v>13</x:v>
      </x:c>
      <x:c r="E231" s="3" t="n">
        <x:v>13</x:v>
      </x:c>
      <x:c r="F231" s="4" t="n">
        <x:v>79</x:v>
      </x:c>
      <x:c r="G231" s="4" t="n">
        <x:v>1028</x:v>
      </x:c>
      <x:c r="H231" t="inlineStr">
        <x:is>
          <x:t xml:space="preserve">clear sky</x:t>
        </x:is>
      </x:c>
      <x:c r="I231" s="3" t="n">
        <x:v>26.5</x:v>
      </x:c>
    </x:row>
    <x:row r="232">
      <x:c r="A232" t="n">
        <x:v>231</x:v>
      </x:c>
      <x:c r="B232" s="2" t="n">
        <x:v>45993.875</x:v>
      </x:c>
      <x:c r="C232" t="inlineStr">
        <x:is>
          <x:t xml:space="preserve">Lisbon</x:t>
        </x:is>
      </x:c>
      <x:c r="D232" s="3" t="n">
        <x:v>15.8</x:v>
      </x:c>
      <x:c r="E232" s="3" t="n">
        <x:v>16</x:v>
      </x:c>
      <x:c r="F232" s="4" t="n">
        <x:v>77</x:v>
      </x:c>
      <x:c r="G232" s="4" t="n">
        <x:v>1021</x:v>
      </x:c>
      <x:c r="H232" t="inlineStr">
        <x:is>
          <x:t xml:space="preserve">overcast clouds</x:t>
        </x:is>
      </x:c>
      <x:c r="I232" s="3" t="n">
        <x:v>19.8</x:v>
      </x:c>
    </x:row>
    <x:row r="233">
      <x:c r="A233" t="n">
        <x:v>232</x:v>
      </x:c>
      <x:c r="B233" s="2" t="n">
        <x:v>45994.27777777778</x:v>
      </x:c>
      <x:c r="C233" t="inlineStr">
        <x:is>
          <x:t xml:space="preserve">Lisbon</x:t>
        </x:is>
      </x:c>
      <x:c r="D233" s="3" t="n">
        <x:v>9.6</x:v>
      </x:c>
      <x:c r="E233" s="3" t="n">
        <x:v>10.7</x:v>
      </x:c>
      <x:c r="F233" s="4" t="n">
        <x:v>70</x:v>
      </x:c>
      <x:c r="G233" s="4" t="n">
        <x:v>1012</x:v>
      </x:c>
      <x:c r="H233" t="inlineStr">
        <x:is>
          <x:t xml:space="preserve">clear sky</x:t>
        </x:is>
      </x:c>
      <x:c r="I233" s="3" t="n">
        <x:v>17.8</x:v>
      </x:c>
    </x:row>
    <x:row r="234">
      <x:c r="A234" t="n">
        <x:v>233</x:v>
      </x:c>
      <x:c r="B234" s="2" t="n">
        <x:v>45995.64583333334</x:v>
      </x:c>
      <x:c r="C234" t="inlineStr">
        <x:is>
          <x:t xml:space="preserve">Lisbon</x:t>
        </x:is>
      </x:c>
      <x:c r="D234" s="3" t="n">
        <x:v>18.9</x:v>
      </x:c>
      <x:c r="E234" s="3" t="n">
        <x:v>19.2</x:v>
      </x:c>
      <x:c r="F234" s="4" t="n">
        <x:v>95</x:v>
      </x:c>
      <x:c r="G234" s="4" t="n">
        <x:v>1008</x:v>
      </x:c>
      <x:c r="H234" t="inlineStr">
        <x:is>
          <x:t xml:space="preserve">drizzle</x:t>
        </x:is>
      </x:c>
      <x:c r="I234" s="3" t="n">
        <x:v>21.9</x:v>
      </x:c>
    </x:row>
    <x:row r="235">
      <x:c r="A235" t="n">
        <x:v>234</x:v>
      </x:c>
      <x:c r="B235" s="2" t="n">
        <x:v>45996.89583333334</x:v>
      </x:c>
      <x:c r="C235" t="inlineStr">
        <x:is>
          <x:t xml:space="preserve">Lisbon</x:t>
        </x:is>
      </x:c>
      <x:c r="D235" s="3" t="n">
        <x:v>16.6</x:v>
      </x:c>
      <x:c r="E235" s="3" t="n">
        <x:v>17.1</x:v>
      </x:c>
      <x:c r="F235" s="4" t="n">
        <x:v>70</x:v>
      </x:c>
      <x:c r="G235" s="4" t="n">
        <x:v>1014</x:v>
      </x:c>
      <x:c r="H235" t="inlineStr">
        <x:is>
          <x:t xml:space="preserve">clear sky</x:t>
        </x:is>
      </x:c>
      <x:c r="I235" s="3" t="n">
        <x:v>20.1</x:v>
      </x:c>
    </x:row>
    <x:row r="236">
      <x:c r="A236" t="n">
        <x:v>235</x:v>
      </x:c>
      <x:c r="B236" s="2" t="n">
        <x:v>45997.67361111111</x:v>
      </x:c>
      <x:c r="C236" t="inlineStr">
        <x:is>
          <x:t xml:space="preserve">Lisbon</x:t>
        </x:is>
      </x:c>
      <x:c r="D236" s="3" t="n">
        <x:v>18.7</x:v>
      </x:c>
      <x:c r="E236" s="3" t="n">
        <x:v>19.6</x:v>
      </x:c>
      <x:c r="F236" s="4" t="n">
        <x:v>80</x:v>
      </x:c>
      <x:c r="G236" s="4" t="n">
        <x:v>1023</x:v>
      </x:c>
      <x:c r="H236" t="inlineStr">
        <x:is>
          <x:t xml:space="preserve">clear sky</x:t>
        </x:is>
      </x:c>
      <x:c r="I236" s="3" t="n">
        <x:v>16.8</x:v>
      </x:c>
    </x:row>
    <x:row r="237">
      <x:c r="A237" t="n">
        <x:v>236</x:v>
      </x:c>
      <x:c r="B237" s="2" t="n">
        <x:v>45999.30555555555</x:v>
      </x:c>
      <x:c r="C237" t="inlineStr">
        <x:is>
          <x:t xml:space="preserve">Lisbon</x:t>
        </x:is>
      </x:c>
      <x:c r="D237" s="3" t="n">
        <x:v>11.2</x:v>
      </x:c>
      <x:c r="E237" s="3" t="n">
        <x:v>11.4</x:v>
      </x:c>
      <x:c r="F237" s="4" t="n">
        <x:v>73</x:v>
      </x:c>
      <x:c r="G237" s="4" t="n">
        <x:v>1019</x:v>
      </x:c>
      <x:c r="H237" t="inlineStr">
        <x:is>
          <x:t xml:space="preserve">clear sky</x:t>
        </x:is>
      </x:c>
      <x:c r="I237" s="3" t="n">
        <x:v>16.7</x:v>
      </x:c>
    </x:row>
    <x:row r="238">
      <x:c r="A238" t="n">
        <x:v>237</x:v>
      </x:c>
      <x:c r="B238" s="2" t="n">
        <x:v>46000.875</x:v>
      </x:c>
      <x:c r="C238" t="inlineStr">
        <x:is>
          <x:t xml:space="preserve">Lisbon</x:t>
        </x:is>
      </x:c>
      <x:c r="D238" s="3" t="n">
        <x:v>13.5</x:v>
      </x:c>
      <x:c r="E238" s="3" t="n">
        <x:v>14.2</x:v>
      </x:c>
      <x:c r="F238" s="4" t="n">
        <x:v>84</x:v>
      </x:c>
      <x:c r="G238" s="4" t="n">
        <x:v>1023</x:v>
      </x:c>
      <x:c r="H238" t="inlineStr">
        <x:is>
          <x:t xml:space="preserve">light rain</x:t>
        </x:is>
      </x:c>
      <x:c r="I238" s="3" t="n">
        <x:v>23.6</x:v>
      </x:c>
    </x:row>
    <x:row r="239">
      <x:c r="A239" t="n">
        <x:v>238</x:v>
      </x:c>
      <x:c r="B239" s="2" t="n">
        <x:v>46001.35416666666</x:v>
      </x:c>
      <x:c r="C239" t="inlineStr">
        <x:is>
          <x:t xml:space="preserve">Lisbon</x:t>
        </x:is>
      </x:c>
      <x:c r="D239" s="3" t="n">
        <x:v>11.8</x:v>
      </x:c>
      <x:c r="E239" s="3" t="n">
        <x:v>9.699999999999999</x:v>
      </x:c>
      <x:c r="F239" s="4" t="n">
        <x:v>99</x:v>
      </x:c>
      <x:c r="G239" s="4" t="n">
        <x:v>1013</x:v>
      </x:c>
      <x:c r="H239" t="inlineStr">
        <x:is>
          <x:t xml:space="preserve">thunderstorm</x:t>
        </x:is>
      </x:c>
      <x:c r="I239" s="3" t="n">
        <x:v>29.7</x:v>
      </x:c>
    </x:row>
    <x:row r="240">
      <x:c r="A240" t="n">
        <x:v>239</x:v>
      </x:c>
      <x:c r="B240" s="2" t="n">
        <x:v>46002.875</x:v>
      </x:c>
      <x:c r="C240" t="inlineStr">
        <x:is>
          <x:t xml:space="preserve">Lisbon</x:t>
        </x:is>
      </x:c>
      <x:c r="D240" s="3" t="n">
        <x:v>15.7</x:v>
      </x:c>
      <x:c r="E240" s="3" t="n">
        <x:v>15.2</x:v>
      </x:c>
      <x:c r="F240" s="4" t="n">
        <x:v>70</x:v>
      </x:c>
      <x:c r="G240" s="4" t="n">
        <x:v>1017</x:v>
      </x:c>
      <x:c r="H240" t="inlineStr">
        <x:is>
          <x:t xml:space="preserve">few clouds</x:t>
        </x:is>
      </x:c>
      <x:c r="I240" s="3" t="n">
        <x:v>16.9</x:v>
      </x:c>
    </x:row>
    <x:row r="241">
      <x:c r="A241" t="n">
        <x:v>240</x:v>
      </x:c>
      <x:c r="B241" s="2" t="n">
        <x:v>46003.29861111111</x:v>
      </x:c>
      <x:c r="C241" t="inlineStr">
        <x:is>
          <x:t xml:space="preserve">Lisbon</x:t>
        </x:is>
      </x:c>
      <x:c r="D241" s="3" t="n">
        <x:v>12.5</x:v>
      </x:c>
      <x:c r="E241" s="3" t="n">
        <x:v>12</x:v>
      </x:c>
      <x:c r="F241" s="4" t="n">
        <x:v>70</x:v>
      </x:c>
      <x:c r="G241" s="4" t="n">
        <x:v>1016</x:v>
      </x:c>
      <x:c r="H241" t="inlineStr">
        <x:is>
          <x:t xml:space="preserve">clear sky</x:t>
        </x:is>
      </x:c>
      <x:c r="I241" s="3" t="n">
        <x:v>21.7</x:v>
      </x:c>
    </x:row>
    <x:row r="242">
      <x:c r="A242" t="n">
        <x:v>241</x:v>
      </x:c>
      <x:c r="B242" s="2" t="n">
        <x:v>46004.44444444445</x:v>
      </x:c>
      <x:c r="C242" t="inlineStr">
        <x:is>
          <x:t xml:space="preserve">Lisbon</x:t>
        </x:is>
      </x:c>
      <x:c r="D242" s="3" t="n">
        <x:v>11.6</x:v>
      </x:c>
      <x:c r="E242" s="3" t="n">
        <x:v>10.3</x:v>
      </x:c>
      <x:c r="F242" s="4" t="n">
        <x:v>76</x:v>
      </x:c>
      <x:c r="G242" s="4" t="n">
        <x:v>1011</x:v>
      </x:c>
      <x:c r="H242" t="inlineStr">
        <x:is>
          <x:t xml:space="preserve">broken clouds</x:t>
        </x:is>
      </x:c>
      <x:c r="I242" s="3" t="n">
        <x:v>20.1</x:v>
      </x:c>
    </x:row>
    <x:row r="243">
      <x:c r="A243" t="n">
        <x:v>242</x:v>
      </x:c>
      <x:c r="B243" s="2" t="n">
        <x:v>46005.625</x:v>
      </x:c>
      <x:c r="C243" t="inlineStr">
        <x:is>
          <x:t xml:space="preserve">Lisbon</x:t>
        </x:is>
      </x:c>
      <x:c r="D243" s="3" t="n">
        <x:v>14.1</x:v>
      </x:c>
      <x:c r="E243" s="3" t="n">
        <x:v>15.2</x:v>
      </x:c>
      <x:c r="F243" s="4" t="n">
        <x:v>86</x:v>
      </x:c>
      <x:c r="G243" s="4" t="n">
        <x:v>1025</x:v>
      </x:c>
      <x:c r="H243" t="inlineStr">
        <x:is>
          <x:t xml:space="preserve">broken clouds</x:t>
        </x:is>
      </x:c>
      <x:c r="I243" s="3" t="n">
        <x:v>29.1</x:v>
      </x:c>
    </x:row>
    <x:row r="244">
      <x:c r="A244" t="n">
        <x:v>243</x:v>
      </x:c>
      <x:c r="B244" s="2" t="n">
        <x:v>46006.54166666666</x:v>
      </x:c>
      <x:c r="C244" t="inlineStr">
        <x:is>
          <x:t xml:space="preserve">Lisbon</x:t>
        </x:is>
      </x:c>
      <x:c r="D244" s="3" t="n">
        <x:v>15.2</x:v>
      </x:c>
      <x:c r="E244" s="3" t="n">
        <x:v>15.4</x:v>
      </x:c>
      <x:c r="F244" s="4" t="n">
        <x:v>80</x:v>
      </x:c>
      <x:c r="G244" s="4" t="n">
        <x:v>1013</x:v>
      </x:c>
      <x:c r="H244" t="inlineStr">
        <x:is>
          <x:t xml:space="preserve">overcast clouds</x:t>
        </x:is>
      </x:c>
      <x:c r="I244" s="3" t="n">
        <x:v>16.5</x:v>
      </x:c>
    </x:row>
    <x:row r="245">
      <x:c r="A245" t="n">
        <x:v>244</x:v>
      </x:c>
      <x:c r="B245" s="2" t="n">
        <x:v>46007.81944444445</x:v>
      </x:c>
      <x:c r="C245" t="inlineStr">
        <x:is>
          <x:t xml:space="preserve">Lisbon</x:t>
        </x:is>
      </x:c>
      <x:c r="D245" s="3" t="n">
        <x:v>15.4</x:v>
      </x:c>
      <x:c r="E245" s="3" t="n">
        <x:v>15.8</x:v>
      </x:c>
      <x:c r="F245" s="4" t="n">
        <x:v>70</x:v>
      </x:c>
      <x:c r="G245" s="4" t="n">
        <x:v>1015</x:v>
      </x:c>
      <x:c r="H245" t="inlineStr">
        <x:is>
          <x:t xml:space="preserve">clear sky</x:t>
        </x:is>
      </x:c>
      <x:c r="I245" s="3" t="n">
        <x:v>17.8</x:v>
      </x:c>
    </x:row>
    <x:row r="246">
      <x:c r="A246" t="n">
        <x:v>245</x:v>
      </x:c>
      <x:c r="B246" s="2" t="n">
        <x:v>46008.56944444445</x:v>
      </x:c>
      <x:c r="C246" t="inlineStr">
        <x:is>
          <x:t xml:space="preserve">Lisbon</x:t>
        </x:is>
      </x:c>
      <x:c r="D246" s="3" t="n">
        <x:v>16.5</x:v>
      </x:c>
      <x:c r="E246" s="3" t="n">
        <x:v>15.8</x:v>
      </x:c>
      <x:c r="F246" s="4" t="n">
        <x:v>64</x:v>
      </x:c>
      <x:c r="G246" s="4" t="n">
        <x:v>1018</x:v>
      </x:c>
      <x:c r="H246" t="inlineStr">
        <x:is>
          <x:t xml:space="preserve">clear sky</x:t>
        </x:is>
      </x:c>
      <x:c r="I246" s="3" t="n">
        <x:v>22.5</x:v>
      </x:c>
    </x:row>
    <x:row r="247">
      <x:c r="A247" t="n">
        <x:v>246</x:v>
      </x:c>
      <x:c r="B247" s="2" t="n">
        <x:v>46009.77083333334</x:v>
      </x:c>
      <x:c r="C247" t="inlineStr">
        <x:is>
          <x:t xml:space="preserve">Lisbon</x:t>
        </x:is>
      </x:c>
      <x:c r="D247" s="3" t="n">
        <x:v>17</x:v>
      </x:c>
      <x:c r="E247" s="3" t="n">
        <x:v>17.6</x:v>
      </x:c>
      <x:c r="F247" s="4" t="n">
        <x:v>84</x:v>
      </x:c>
      <x:c r="G247" s="4" t="n">
        <x:v>1001</x:v>
      </x:c>
      <x:c r="H247" t="inlineStr">
        <x:is>
          <x:t xml:space="preserve">drizzle</x:t>
        </x:is>
      </x:c>
      <x:c r="I247" s="3" t="n">
        <x:v>25.9</x:v>
      </x:c>
    </x:row>
    <x:row r="248">
      <x:c r="A248" t="n">
        <x:v>247</x:v>
      </x:c>
      <x:c r="B248" s="2" t="n">
        <x:v>46010.84722222222</x:v>
      </x:c>
      <x:c r="C248" t="inlineStr">
        <x:is>
          <x:t xml:space="preserve">Lisbon</x:t>
        </x:is>
      </x:c>
      <x:c r="D248" s="3" t="n">
        <x:v>15.4</x:v>
      </x:c>
      <x:c r="E248" s="3" t="n">
        <x:v>15.1</x:v>
      </x:c>
      <x:c r="F248" s="4" t="n">
        <x:v>68</x:v>
      </x:c>
      <x:c r="G248" s="4" t="n">
        <x:v>1017</x:v>
      </x:c>
      <x:c r="H248" t="inlineStr">
        <x:is>
          <x:t xml:space="preserve">few clouds</x:t>
        </x:is>
      </x:c>
      <x:c r="I248" s="3" t="n">
        <x:v>21.1</x:v>
      </x:c>
    </x:row>
    <x:row r="249">
      <x:c r="A249" t="n">
        <x:v>248</x:v>
      </x:c>
      <x:c r="B249" s="2" t="n">
        <x:v>46011.80555555555</x:v>
      </x:c>
      <x:c r="C249" t="inlineStr">
        <x:is>
          <x:t xml:space="preserve">Lisbon</x:t>
        </x:is>
      </x:c>
      <x:c r="D249" s="3" t="n">
        <x:v>16.3</x:v>
      </x:c>
      <x:c r="E249" s="3" t="n">
        <x:v>16.7</x:v>
      </x:c>
      <x:c r="F249" s="4" t="n">
        <x:v>81</x:v>
      </x:c>
      <x:c r="G249" s="4" t="n">
        <x:v>1017</x:v>
      </x:c>
      <x:c r="H249" t="inlineStr">
        <x:is>
          <x:t xml:space="preserve">light rain</x:t>
        </x:is>
      </x:c>
      <x:c r="I249" s="3" t="n">
        <x:v>25.9</x:v>
      </x:c>
    </x:row>
    <x:row r="250">
      <x:c r="A250" t="n">
        <x:v>249</x:v>
      </x:c>
      <x:c r="B250" s="2" t="n">
        <x:v>46012.31944444445</x:v>
      </x:c>
      <x:c r="C250" t="inlineStr">
        <x:is>
          <x:t xml:space="preserve">Lisbon</x:t>
        </x:is>
      </x:c>
      <x:c r="D250" s="3" t="n">
        <x:v>9.699999999999999</x:v>
      </x:c>
      <x:c r="E250" s="3" t="n">
        <x:v>8.4</x:v>
      </x:c>
      <x:c r="F250" s="4" t="n">
        <x:v>79</x:v>
      </x:c>
      <x:c r="G250" s="4" t="n">
        <x:v>1017</x:v>
      </x:c>
      <x:c r="H250" t="inlineStr">
        <x:is>
          <x:t xml:space="preserve">moderate rain</x:t>
        </x:is>
      </x:c>
      <x:c r="I250" s="3" t="n">
        <x:v>25.1</x:v>
      </x:c>
    </x:row>
    <x:row r="251">
      <x:c r="A251" t="n">
        <x:v>250</x:v>
      </x:c>
      <x:c r="B251" s="2" t="n">
        <x:v>46013.38194444445</x:v>
      </x:c>
      <x:c r="C251" t="inlineStr">
        <x:is>
          <x:t xml:space="preserve">Lisbon</x:t>
        </x:is>
      </x:c>
      <x:c r="D251" s="3" t="n">
        <x:v>10.6</x:v>
      </x:c>
      <x:c r="E251" s="3" t="n">
        <x:v>11.8</x:v>
      </x:c>
      <x:c r="F251" s="4" t="n">
        <x:v>87</x:v>
      </x:c>
      <x:c r="G251" s="4" t="n">
        <x:v>1014</x:v>
      </x:c>
      <x:c r="H251" t="inlineStr">
        <x:is>
          <x:t xml:space="preserve">light rain</x:t>
        </x:is>
      </x:c>
      <x:c r="I251" s="3" t="n">
        <x:v>15.7</x:v>
      </x:c>
    </x:row>
    <x:row r="252">
      <x:c r="A252" t="n">
        <x:v>251</x:v>
      </x:c>
      <x:c r="B252" s="2" t="n">
        <x:v>46014.51388888889</x:v>
      </x:c>
      <x:c r="C252" t="inlineStr">
        <x:is>
          <x:t xml:space="preserve">Lisbon</x:t>
        </x:is>
      </x:c>
      <x:c r="D252" s="3" t="n">
        <x:v>12.8</x:v>
      </x:c>
      <x:c r="E252" s="3" t="n">
        <x:v>13.4</x:v>
      </x:c>
      <x:c r="F252" s="4" t="n">
        <x:v>80</x:v>
      </x:c>
      <x:c r="G252" s="4" t="n">
        <x:v>1017</x:v>
      </x:c>
      <x:c r="H252" t="inlineStr">
        <x:is>
          <x:t xml:space="preserve">scattered clouds</x:t>
        </x:is>
      </x:c>
      <x:c r="I252" s="3" t="n">
        <x:v>16.1</x:v>
      </x:c>
    </x:row>
    <x:row r="253">
      <x:c r="A253" t="n">
        <x:v>252</x:v>
      </x:c>
      <x:c r="B253" s="2" t="n">
        <x:v>46015.34027777778</x:v>
      </x:c>
      <x:c r="C253" t="inlineStr">
        <x:is>
          <x:t xml:space="preserve">Lisbon</x:t>
        </x:is>
      </x:c>
      <x:c r="D253" s="3" t="n">
        <x:v>11.3</x:v>
      </x:c>
      <x:c r="E253" s="3" t="n">
        <x:v>11</x:v>
      </x:c>
      <x:c r="F253" s="4" t="n">
        <x:v>55</x:v>
      </x:c>
      <x:c r="G253" s="4" t="n">
        <x:v>1017</x:v>
      </x:c>
      <x:c r="H253" t="inlineStr">
        <x:is>
          <x:t xml:space="preserve">clear sky</x:t>
        </x:is>
      </x:c>
      <x:c r="I253" s="3" t="n">
        <x:v>19.3</x:v>
      </x:c>
    </x:row>
    <x:row r="254">
      <x:c r="A254" t="n">
        <x:v>253</x:v>
      </x:c>
      <x:c r="B254" s="2" t="n">
        <x:v>46016.54861111111</x:v>
      </x:c>
      <x:c r="C254" t="inlineStr">
        <x:is>
          <x:t xml:space="preserve">Lisbon</x:t>
        </x:is>
      </x:c>
      <x:c r="D254" s="3" t="n">
        <x:v>10.9</x:v>
      </x:c>
      <x:c r="E254" s="3" t="n">
        <x:v>9.5</x:v>
      </x:c>
      <x:c r="F254" s="4" t="n">
        <x:v>89</x:v>
      </x:c>
      <x:c r="G254" s="4" t="n">
        <x:v>1014</x:v>
      </x:c>
      <x:c r="H254" t="inlineStr">
        <x:is>
          <x:t xml:space="preserve">few clouds</x:t>
        </x:is>
      </x:c>
      <x:c r="I254" s="3" t="n">
        <x:v>20.4</x:v>
      </x:c>
    </x:row>
    <x:row r="255">
      <x:c r="A255" t="n">
        <x:v>254</x:v>
      </x:c>
      <x:c r="B255" s="2" t="n">
        <x:v>46017.34027777778</x:v>
      </x:c>
      <x:c r="C255" t="inlineStr">
        <x:is>
          <x:t xml:space="preserve">Lisbon</x:t>
        </x:is>
      </x:c>
      <x:c r="D255" s="3" t="n">
        <x:v>10.9</x:v>
      </x:c>
      <x:c r="E255" s="3" t="n">
        <x:v>10.3</x:v>
      </x:c>
      <x:c r="F255" s="4" t="n">
        <x:v>98</x:v>
      </x:c>
      <x:c r="G255" s="4" t="n">
        <x:v>1006</x:v>
      </x:c>
      <x:c r="H255" t="inlineStr">
        <x:is>
          <x:t xml:space="preserve">light rain</x:t>
        </x:is>
      </x:c>
      <x:c r="I255" s="3" t="n">
        <x:v>18.1</x:v>
      </x:c>
    </x:row>
    <x:row r="256">
      <x:c r="A256" t="n">
        <x:v>255</x:v>
      </x:c>
      <x:c r="B256" s="2" t="n">
        <x:v>46018.27083333334</x:v>
      </x:c>
      <x:c r="C256" t="inlineStr">
        <x:is>
          <x:t xml:space="preserve">Lisbon</x:t>
        </x:is>
      </x:c>
      <x:c r="D256" s="3" t="n">
        <x:v>9.1</x:v>
      </x:c>
      <x:c r="E256" s="3" t="n">
        <x:v>8.4</x:v>
      </x:c>
      <x:c r="F256" s="4" t="n">
        <x:v>95</x:v>
      </x:c>
      <x:c r="G256" s="4" t="n">
        <x:v>1014</x:v>
      </x:c>
      <x:c r="H256" t="inlineStr">
        <x:is>
          <x:t xml:space="preserve">light rain</x:t>
        </x:is>
      </x:c>
      <x:c r="I256" s="3" t="n">
        <x:v>20.9</x:v>
      </x:c>
    </x:row>
    <x:row r="257">
      <x:c r="A257" t="n">
        <x:v>256</x:v>
      </x:c>
      <x:c r="B257" s="2" t="n">
        <x:v>46019.86805555555</x:v>
      </x:c>
      <x:c r="C257" t="inlineStr">
        <x:is>
          <x:t xml:space="preserve">Lisbon</x:t>
        </x:is>
      </x:c>
      <x:c r="D257" s="3" t="n">
        <x:v>12.3</x:v>
      </x:c>
      <x:c r="E257" s="3" t="n">
        <x:v>13.2</x:v>
      </x:c>
      <x:c r="F257" s="4" t="n">
        <x:v>93</x:v>
      </x:c>
      <x:c r="G257" s="4" t="n">
        <x:v>1015</x:v>
      </x:c>
      <x:c r="H257" t="inlineStr">
        <x:is>
          <x:t xml:space="preserve">light rain</x:t>
        </x:is>
      </x:c>
      <x:c r="I257" s="3" t="n">
        <x:v>16.3</x:v>
      </x:c>
    </x:row>
    <x:row r="258">
      <x:c r="A258" t="n">
        <x:v>257</x:v>
      </x:c>
      <x:c r="B258" s="2" t="n">
        <x:v>46020.88888888889</x:v>
      </x:c>
      <x:c r="C258" t="inlineStr">
        <x:is>
          <x:t xml:space="preserve">Lisbon</x:t>
        </x:is>
      </x:c>
      <x:c r="D258" s="3" t="n">
        <x:v>15.6</x:v>
      </x:c>
      <x:c r="E258" s="3" t="n">
        <x:v>16.8</x:v>
      </x:c>
      <x:c r="F258" s="4" t="n">
        <x:v>75</x:v>
      </x:c>
      <x:c r="G258" s="4" t="n">
        <x:v>1013</x:v>
      </x:c>
      <x:c r="H258" t="inlineStr">
        <x:is>
          <x:t xml:space="preserve">clear sky</x:t>
        </x:is>
      </x:c>
      <x:c r="I258" s="3" t="n">
        <x:v>18.1</x:v>
      </x:c>
    </x:row>
    <x:row r="259">
      <x:c r="A259" t="n">
        <x:v>258</x:v>
      </x:c>
      <x:c r="B259" s="2" t="n">
        <x:v>46021.29861111111</x:v>
      </x:c>
      <x:c r="C259" t="inlineStr">
        <x:is>
          <x:t xml:space="preserve">Lisbon</x:t>
        </x:is>
      </x:c>
      <x:c r="D259" s="3" t="n">
        <x:v>10.9</x:v>
      </x:c>
      <x:c r="E259" s="3" t="n">
        <x:v>10.5</x:v>
      </x:c>
      <x:c r="F259" s="4" t="n">
        <x:v>96</x:v>
      </x:c>
      <x:c r="G259" s="4" t="n">
        <x:v>1012</x:v>
      </x:c>
      <x:c r="H259" t="inlineStr">
        <x:is>
          <x:t xml:space="preserve">few clouds</x:t>
        </x:is>
      </x:c>
      <x:c r="I259" s="3" t="n">
        <x:v>18.8</x:v>
      </x:c>
    </x:row>
    <x:row r="260">
      <x:c r="A260" t="n">
        <x:v>259</x:v>
      </x:c>
      <x:c r="B260" s="2" t="n">
        <x:v>46022.65972222222</x:v>
      </x:c>
      <x:c r="C260" t="inlineStr">
        <x:is>
          <x:t xml:space="preserve">Lisbon</x:t>
        </x:is>
      </x:c>
      <x:c r="D260" s="3" t="n">
        <x:v>13.9</x:v>
      </x:c>
      <x:c r="E260" s="3" t="n">
        <x:v>14.2</x:v>
      </x:c>
      <x:c r="F260" s="4" t="n">
        <x:v>99</x:v>
      </x:c>
      <x:c r="G260" s="4" t="n">
        <x:v>1022</x:v>
      </x:c>
      <x:c r="H260" t="inlineStr">
        <x:is>
          <x:t xml:space="preserve">mist</x:t>
        </x:is>
      </x:c>
      <x:c r="I260" s="3" t="n">
        <x:v>14.6</x:v>
      </x:c>
    </x:row>
    <x:row r="261">
      <x:c r="A261" t="n">
        <x:v>260</x:v>
      </x:c>
      <x:c r="B261" s="2" t="n">
        <x:v>46023.65972222222</x:v>
      </x:c>
      <x:c r="C261" t="inlineStr">
        <x:is>
          <x:t xml:space="preserve">Lisbon</x:t>
        </x:is>
      </x:c>
      <x:c r="D261" s="3" t="n">
        <x:v>12.5</x:v>
      </x:c>
      <x:c r="E261" s="3" t="n">
        <x:v>12.9</x:v>
      </x:c>
      <x:c r="F261" s="4" t="n">
        <x:v>84</x:v>
      </x:c>
      <x:c r="G261" s="4" t="n">
        <x:v>1011</x:v>
      </x:c>
      <x:c r="H261" t="inlineStr">
        <x:is>
          <x:t xml:space="preserve">moderate rain</x:t>
        </x:is>
      </x:c>
      <x:c r="I261" s="3" t="n">
        <x:v>25.2</x:v>
      </x:c>
    </x:row>
    <x:row r="262">
      <x:c r="A262" t="n">
        <x:v>261</x:v>
      </x:c>
      <x:c r="B262" s="2" t="n">
        <x:v>46024.83333333334</x:v>
      </x:c>
      <x:c r="C262" t="inlineStr">
        <x:is>
          <x:t xml:space="preserve">Lisbon</x:t>
        </x:is>
      </x:c>
      <x:c r="D262" s="3" t="n">
        <x:v>13.2</x:v>
      </x:c>
      <x:c r="E262" s="3" t="n">
        <x:v>14.2</x:v>
      </x:c>
      <x:c r="F262" s="4" t="n">
        <x:v>89</x:v>
      </x:c>
      <x:c r="G262" s="4" t="n">
        <x:v>1016</x:v>
      </x:c>
      <x:c r="H262" t="inlineStr">
        <x:is>
          <x:t xml:space="preserve">light rain</x:t>
        </x:is>
      </x:c>
      <x:c r="I262" s="3" t="n">
        <x:v>21.9</x:v>
      </x:c>
    </x:row>
    <x:row r="263">
      <x:c r="A263" t="n">
        <x:v>262</x:v>
      </x:c>
      <x:c r="B263" s="2" t="n">
        <x:v>46025.55555555555</x:v>
      </x:c>
      <x:c r="C263" t="inlineStr">
        <x:is>
          <x:t xml:space="preserve">Lisbon</x:t>
        </x:is>
      </x:c>
      <x:c r="D263" s="3" t="n">
        <x:v>8</x:v>
      </x:c>
      <x:c r="E263" s="3" t="n">
        <x:v>7.3</x:v>
      </x:c>
      <x:c r="F263" s="4" t="n">
        <x:v>74</x:v>
      </x:c>
      <x:c r="G263" s="4" t="n">
        <x:v>1015</x:v>
      </x:c>
      <x:c r="H263" t="inlineStr">
        <x:is>
          <x:t xml:space="preserve">overcast clouds</x:t>
        </x:is>
      </x:c>
      <x:c r="I263" s="3" t="n">
        <x:v>16.4</x:v>
      </x:c>
    </x:row>
    <x:row r="264">
      <x:c r="A264" t="n">
        <x:v>263</x:v>
      </x:c>
      <x:c r="B264" s="2" t="n">
        <x:v>46026.52083333334</x:v>
      </x:c>
      <x:c r="C264" t="inlineStr">
        <x:is>
          <x:t xml:space="preserve">Lisbon</x:t>
        </x:is>
      </x:c>
      <x:c r="D264" s="3" t="n">
        <x:v>9.1</x:v>
      </x:c>
      <x:c r="E264" s="3" t="n">
        <x:v>9.6</x:v>
      </x:c>
      <x:c r="F264" s="4" t="n">
        <x:v>64</x:v>
      </x:c>
      <x:c r="G264" s="4" t="n">
        <x:v>1019</x:v>
      </x:c>
      <x:c r="H264" t="inlineStr">
        <x:is>
          <x:t xml:space="preserve">clear sky</x:t>
        </x:is>
      </x:c>
      <x:c r="I264" s="3" t="n">
        <x:v>17.9</x:v>
      </x:c>
    </x:row>
    <x:row r="265">
      <x:c r="A265" t="n">
        <x:v>264</x:v>
      </x:c>
      <x:c r="B265" s="2" t="n">
        <x:v>46027.40277777778</x:v>
      </x:c>
      <x:c r="C265" t="inlineStr">
        <x:is>
          <x:t xml:space="preserve">Lisbon</x:t>
        </x:is>
      </x:c>
      <x:c r="D265" s="3" t="n">
        <x:v>7.5</x:v>
      </x:c>
      <x:c r="E265" s="3" t="n">
        <x:v>6.6</x:v>
      </x:c>
      <x:c r="F265" s="4" t="n">
        <x:v>67</x:v>
      </x:c>
      <x:c r="G265" s="4" t="n">
        <x:v>1021</x:v>
      </x:c>
      <x:c r="H265" t="inlineStr">
        <x:is>
          <x:t xml:space="preserve">clear sky</x:t>
        </x:is>
      </x:c>
      <x:c r="I265" s="3" t="n">
        <x:v>24.4</x:v>
      </x:c>
    </x:row>
    <x:row r="266">
      <x:c r="A266" t="n">
        <x:v>265</x:v>
      </x:c>
      <x:c r="B266" s="2" t="n">
        <x:v>46028.57638888889</x:v>
      </x:c>
      <x:c r="C266" t="inlineStr">
        <x:is>
          <x:t xml:space="preserve">Lisbon</x:t>
        </x:is>
      </x:c>
      <x:c r="D266" s="3" t="n">
        <x:v>9.9</x:v>
      </x:c>
      <x:c r="E266" s="3" t="n">
        <x:v>8.300000000000001</x:v>
      </x:c>
      <x:c r="F266" s="4" t="n">
        <x:v>92</x:v>
      </x:c>
      <x:c r="G266" s="4" t="n">
        <x:v>1030</x:v>
      </x:c>
      <x:c r="H266" t="inlineStr">
        <x:is>
          <x:t xml:space="preserve">clear sky</x:t>
        </x:is>
      </x:c>
      <x:c r="I266" s="3" t="n">
        <x:v>25.2</x:v>
      </x:c>
    </x:row>
    <x:row r="267">
      <x:c r="A267" t="n">
        <x:v>266</x:v>
      </x:c>
      <x:c r="B267" s="2" t="n">
        <x:v>46029.43055555555</x:v>
      </x:c>
      <x:c r="C267" t="inlineStr">
        <x:is>
          <x:t xml:space="preserve">Lisbon</x:t>
        </x:is>
      </x:c>
      <x:c r="D267" s="3" t="n">
        <x:v>10.5</x:v>
      </x:c>
      <x:c r="E267" s="3" t="n">
        <x:v>9.199999999999999</x:v>
      </x:c>
      <x:c r="F267" s="4" t="n">
        <x:v>94</x:v>
      </x:c>
      <x:c r="G267" s="4" t="n">
        <x:v>1020</x:v>
      </x:c>
      <x:c r="H267" t="inlineStr">
        <x:is>
          <x:t xml:space="preserve">scattered clouds</x:t>
        </x:is>
      </x:c>
      <x:c r="I267" s="3" t="n">
        <x:v>27.1</x:v>
      </x:c>
    </x:row>
    <x:row r="268">
      <x:c r="A268" t="n">
        <x:v>267</x:v>
      </x:c>
      <x:c r="B268" s="2" t="n">
        <x:v>46030.41666666666</x:v>
      </x:c>
      <x:c r="C268" t="inlineStr">
        <x:is>
          <x:t xml:space="preserve">Lisbon</x:t>
        </x:is>
      </x:c>
      <x:c r="D268" s="3" t="n">
        <x:v>8.800000000000001</x:v>
      </x:c>
      <x:c r="E268" s="3" t="n">
        <x:v>7.8</x:v>
      </x:c>
      <x:c r="F268" s="4" t="n">
        <x:v>90</x:v>
      </x:c>
      <x:c r="G268" s="4" t="n">
        <x:v>1015</x:v>
      </x:c>
      <x:c r="H268" t="inlineStr">
        <x:is>
          <x:t xml:space="preserve">broken clouds</x:t>
        </x:is>
      </x:c>
      <x:c r="I268" s="3" t="n">
        <x:v>18.5</x:v>
      </x:c>
    </x:row>
    <x:row r="269">
      <x:c r="A269" t="n">
        <x:v>268</x:v>
      </x:c>
      <x:c r="B269" s="2" t="n">
        <x:v>46031.29861111111</x:v>
      </x:c>
      <x:c r="C269" t="inlineStr">
        <x:is>
          <x:t xml:space="preserve">Lisbon</x:t>
        </x:is>
      </x:c>
      <x:c r="D269" s="3" t="n">
        <x:v>13.9</x:v>
      </x:c>
      <x:c r="E269" s="3" t="n">
        <x:v>13.6</x:v>
      </x:c>
      <x:c r="F269" s="4" t="n">
        <x:v>96</x:v>
      </x:c>
      <x:c r="G269" s="4" t="n">
        <x:v>1010</x:v>
      </x:c>
      <x:c r="H269" t="inlineStr">
        <x:is>
          <x:t xml:space="preserve">few clouds</x:t>
        </x:is>
      </x:c>
      <x:c r="I269" s="3" t="n">
        <x:v>19</x:v>
      </x:c>
    </x:row>
    <x:row r="270">
      <x:c r="A270" t="n">
        <x:v>269</x:v>
      </x:c>
      <x:c r="B270" s="2" t="n">
        <x:v>46032.65277777778</x:v>
      </x:c>
      <x:c r="C270" t="inlineStr">
        <x:is>
          <x:t xml:space="preserve">Lisbon</x:t>
        </x:is>
      </x:c>
      <x:c r="D270" s="3" t="n">
        <x:v>10.8</x:v>
      </x:c>
      <x:c r="E270" s="3" t="n">
        <x:v>9.9</x:v>
      </x:c>
      <x:c r="F270" s="4" t="n">
        <x:v>93</x:v>
      </x:c>
      <x:c r="G270" s="4" t="n">
        <x:v>1016</x:v>
      </x:c>
      <x:c r="H270" t="inlineStr">
        <x:is>
          <x:t xml:space="preserve">drizzle</x:t>
        </x:is>
      </x:c>
      <x:c r="I270" s="3" t="n">
        <x:v>18.8</x:v>
      </x:c>
    </x:row>
    <x:row r="271">
      <x:c r="A271" t="n">
        <x:v>270</x:v>
      </x:c>
      <x:c r="B271" s="2" t="n">
        <x:v>46033.64583333334</x:v>
      </x:c>
      <x:c r="C271" t="inlineStr">
        <x:is>
          <x:t xml:space="preserve">Lisbon</x:t>
        </x:is>
      </x:c>
      <x:c r="D271" s="3" t="n">
        <x:v>13.2</x:v>
      </x:c>
      <x:c r="E271" s="3" t="n">
        <x:v>13.2</x:v>
      </x:c>
      <x:c r="F271" s="4" t="n">
        <x:v>92</x:v>
      </x:c>
      <x:c r="G271" s="4" t="n">
        <x:v>1021</x:v>
      </x:c>
      <x:c r="H271" t="inlineStr">
        <x:is>
          <x:t xml:space="preserve">few clouds</x:t>
        </x:is>
      </x:c>
      <x:c r="I271" s="3" t="n">
        <x:v>19.4</x:v>
      </x:c>
    </x:row>
    <x:row r="272">
      <x:c r="A272" t="n">
        <x:v>271</x:v>
      </x:c>
      <x:c r="B272" s="2" t="n">
        <x:v>46034.39583333334</x:v>
      </x:c>
      <x:c r="C272" t="inlineStr">
        <x:is>
          <x:t xml:space="preserve">Lisbon</x:t>
        </x:is>
      </x:c>
      <x:c r="D272" s="3" t="n">
        <x:v>9.5</x:v>
      </x:c>
      <x:c r="E272" s="3" t="n">
        <x:v>7.9</x:v>
      </x:c>
      <x:c r="F272" s="4" t="n">
        <x:v>71</x:v>
      </x:c>
      <x:c r="G272" s="4" t="n">
        <x:v>1011</x:v>
      </x:c>
      <x:c r="H272" t="inlineStr">
        <x:is>
          <x:t xml:space="preserve">overcast clouds</x:t>
        </x:is>
      </x:c>
      <x:c r="I272" s="3" t="n">
        <x:v>18.4</x:v>
      </x:c>
    </x:row>
    <x:row r="273">
      <x:c r="A273" t="n">
        <x:v>272</x:v>
      </x:c>
      <x:c r="B273" s="2" t="n">
        <x:v>46035.65972222222</x:v>
      </x:c>
      <x:c r="C273" t="inlineStr">
        <x:is>
          <x:t xml:space="preserve">Lisbon</x:t>
        </x:is>
      </x:c>
      <x:c r="D273" s="3" t="n">
        <x:v>12</x:v>
      </x:c>
      <x:c r="E273" s="3" t="n">
        <x:v>11</x:v>
      </x:c>
      <x:c r="F273" s="4" t="n">
        <x:v>75</x:v>
      </x:c>
      <x:c r="G273" s="4" t="n">
        <x:v>1030</x:v>
      </x:c>
      <x:c r="H273" t="inlineStr">
        <x:is>
          <x:t xml:space="preserve">clear sky</x:t>
        </x:is>
      </x:c>
      <x:c r="I273" s="3" t="n">
        <x:v>33.9</x:v>
      </x:c>
    </x:row>
    <x:row r="274">
      <x:c r="A274" t="n">
        <x:v>273</x:v>
      </x:c>
      <x:c r="B274" s="2" t="n">
        <x:v>46036.76388888889</x:v>
      </x:c>
      <x:c r="C274" t="inlineStr">
        <x:is>
          <x:t xml:space="preserve">Lisbon</x:t>
        </x:is>
      </x:c>
      <x:c r="D274" s="3" t="n">
        <x:v>14.9</x:v>
      </x:c>
      <x:c r="E274" s="3" t="n">
        <x:v>14.2</x:v>
      </x:c>
      <x:c r="F274" s="4" t="n">
        <x:v>75</x:v>
      </x:c>
      <x:c r="G274" s="4" t="n">
        <x:v>1020</x:v>
      </x:c>
      <x:c r="H274" t="inlineStr">
        <x:is>
          <x:t xml:space="preserve">clear sky</x:t>
        </x:is>
      </x:c>
      <x:c r="I274" s="3" t="n">
        <x:v>17.3</x:v>
      </x:c>
    </x:row>
    <x:row r="275">
      <x:c r="A275" t="n">
        <x:v>274</x:v>
      </x:c>
      <x:c r="B275" s="2" t="n">
        <x:v>46037.89583333334</x:v>
      </x:c>
      <x:c r="C275" t="inlineStr">
        <x:is>
          <x:t xml:space="preserve">Lisbon</x:t>
        </x:is>
      </x:c>
      <x:c r="D275" s="3" t="n">
        <x:v>14.3</x:v>
      </x:c>
      <x:c r="E275" s="3" t="n">
        <x:v>14.4</x:v>
      </x:c>
      <x:c r="F275" s="4" t="n">
        <x:v>75</x:v>
      </x:c>
      <x:c r="G275" s="4" t="n">
        <x:v>1012</x:v>
      </x:c>
      <x:c r="H275" t="inlineStr">
        <x:is>
          <x:t xml:space="preserve">clear sky</x:t>
        </x:is>
      </x:c>
      <x:c r="I275" s="3" t="n">
        <x:v>24.8</x:v>
      </x:c>
    </x:row>
    <x:row r="276">
      <x:c r="A276" t="n">
        <x:v>275</x:v>
      </x:c>
      <x:c r="B276" s="2" t="n">
        <x:v>46038.36111111111</x:v>
      </x:c>
      <x:c r="C276" t="inlineStr">
        <x:is>
          <x:t xml:space="preserve">Lisbon</x:t>
        </x:is>
      </x:c>
      <x:c r="D276" s="3" t="n">
        <x:v>9.1</x:v>
      </x:c>
      <x:c r="E276" s="3" t="n">
        <x:v>7.1</x:v>
      </x:c>
      <x:c r="F276" s="4" t="n">
        <x:v>94</x:v>
      </x:c>
      <x:c r="G276" s="4" t="n">
        <x:v>1013</x:v>
      </x:c>
      <x:c r="H276" t="inlineStr">
        <x:is>
          <x:t xml:space="preserve">drizzle</x:t>
        </x:is>
      </x:c>
      <x:c r="I276" s="3" t="n">
        <x:v>21.7</x:v>
      </x:c>
    </x:row>
    <x:row r="277">
      <x:c r="A277" t="n">
        <x:v>276</x:v>
      </x:c>
      <x:c r="B277" s="2" t="n">
        <x:v>46039.3125</x:v>
      </x:c>
      <x:c r="C277" t="inlineStr">
        <x:is>
          <x:t xml:space="preserve">Lisbon</x:t>
        </x:is>
      </x:c>
      <x:c r="D277" s="3" t="n">
        <x:v>9.699999999999999</x:v>
      </x:c>
      <x:c r="E277" s="3" t="n">
        <x:v>8.4</x:v>
      </x:c>
      <x:c r="F277" s="4" t="n">
        <x:v>93</x:v>
      </x:c>
      <x:c r="G277" s="4" t="n">
        <x:v>1007</x:v>
      </x:c>
      <x:c r="H277" t="inlineStr">
        <x:is>
          <x:t xml:space="preserve">drizzle</x:t>
        </x:is>
      </x:c>
      <x:c r="I277" s="3" t="n">
        <x:v>18.4</x:v>
      </x:c>
    </x:row>
    <x:row r="278">
      <x:c r="A278" t="n">
        <x:v>277</x:v>
      </x:c>
      <x:c r="B278" s="2" t="n">
        <x:v>46040.69444444445</x:v>
      </x:c>
      <x:c r="C278" t="inlineStr">
        <x:is>
          <x:t xml:space="preserve">Lisbon</x:t>
        </x:is>
      </x:c>
      <x:c r="D278" s="3" t="n">
        <x:v>13.1</x:v>
      </x:c>
      <x:c r="E278" s="3" t="n">
        <x:v>12.9</x:v>
      </x:c>
      <x:c r="F278" s="4" t="n">
        <x:v>69</x:v>
      </x:c>
      <x:c r="G278" s="4" t="n">
        <x:v>1019</x:v>
      </x:c>
      <x:c r="H278" t="inlineStr">
        <x:is>
          <x:t xml:space="preserve">clear sky</x:t>
        </x:is>
      </x:c>
      <x:c r="I278" s="3" t="n">
        <x:v>18.3</x:v>
      </x:c>
    </x:row>
    <x:row r="279">
      <x:c r="A279" t="n">
        <x:v>278</x:v>
      </x:c>
      <x:c r="B279" s="2" t="n">
        <x:v>46041.58333333334</x:v>
      </x:c>
      <x:c r="C279" t="inlineStr">
        <x:is>
          <x:t xml:space="preserve">Lisbon</x:t>
        </x:is>
      </x:c>
      <x:c r="D279" s="3" t="n">
        <x:v>9.4</x:v>
      </x:c>
      <x:c r="E279" s="3" t="n">
        <x:v>8.6</x:v>
      </x:c>
      <x:c r="F279" s="4" t="n">
        <x:v>99</x:v>
      </x:c>
      <x:c r="G279" s="4" t="n">
        <x:v>1010</x:v>
      </x:c>
      <x:c r="H279" t="inlineStr">
        <x:is>
          <x:t xml:space="preserve">moderate rain</x:t>
        </x:is>
      </x:c>
      <x:c r="I279" s="3" t="n">
        <x:v>25.4</x:v>
      </x:c>
    </x:row>
    <x:row r="280">
      <x:c r="A280" t="n">
        <x:v>279</x:v>
      </x:c>
      <x:c r="B280" s="2" t="n">
        <x:v>46042.34027777778</x:v>
      </x:c>
      <x:c r="C280" t="inlineStr">
        <x:is>
          <x:t xml:space="preserve">Lisbon</x:t>
        </x:is>
      </x:c>
      <x:c r="D280" s="3" t="n">
        <x:v>12.7</x:v>
      </x:c>
      <x:c r="E280" s="3" t="n">
        <x:v>13.7</x:v>
      </x:c>
      <x:c r="F280" s="4" t="n">
        <x:v>67</x:v>
      </x:c>
      <x:c r="G280" s="4" t="n">
        <x:v>1020</x:v>
      </x:c>
      <x:c r="H280" t="inlineStr">
        <x:is>
          <x:t xml:space="preserve">clear sky</x:t>
        </x:is>
      </x:c>
      <x:c r="I280" s="3" t="n">
        <x:v>26.9</x:v>
      </x:c>
    </x:row>
    <x:row r="281">
      <x:c r="A281" t="n">
        <x:v>280</x:v>
      </x:c>
      <x:c r="B281" s="2" t="n">
        <x:v>46043.28472222222</x:v>
      </x:c>
      <x:c r="C281" t="inlineStr">
        <x:is>
          <x:t xml:space="preserve">Lisbon</x:t>
        </x:is>
      </x:c>
      <x:c r="D281" s="3" t="n">
        <x:v>9</x:v>
      </x:c>
      <x:c r="E281" s="3" t="n">
        <x:v>8.6</x:v>
      </x:c>
      <x:c r="F281" s="4" t="n">
        <x:v>82</x:v>
      </x:c>
      <x:c r="G281" s="4" t="n">
        <x:v>1011</x:v>
      </x:c>
      <x:c r="H281" t="inlineStr">
        <x:is>
          <x:t xml:space="preserve">drizzle</x:t>
        </x:is>
      </x:c>
      <x:c r="I281" s="3" t="n">
        <x:v>18.1</x:v>
      </x:c>
    </x:row>
    <x:row r="282">
      <x:c r="A282" t="n">
        <x:v>281</x:v>
      </x:c>
      <x:c r="B282" s="2" t="n">
        <x:v>46044.61111111111</x:v>
      </x:c>
      <x:c r="C282" t="inlineStr">
        <x:is>
          <x:t xml:space="preserve">Lisbon</x:t>
        </x:is>
      </x:c>
      <x:c r="D282" s="3" t="n">
        <x:v>13.9</x:v>
      </x:c>
      <x:c r="E282" s="3" t="n">
        <x:v>14</x:v>
      </x:c>
      <x:c r="F282" s="4" t="n">
        <x:v>59</x:v>
      </x:c>
      <x:c r="G282" s="4" t="n">
        <x:v>1019</x:v>
      </x:c>
      <x:c r="H282" t="inlineStr">
        <x:is>
          <x:t xml:space="preserve">clear sky</x:t>
        </x:is>
      </x:c>
      <x:c r="I282" s="3" t="n">
        <x:v>21.7</x:v>
      </x:c>
    </x:row>
    <x:row r="283">
      <x:c r="A283" t="n">
        <x:v>282</x:v>
      </x:c>
      <x:c r="B283" s="2" t="n">
        <x:v>46045.29861111111</x:v>
      </x:c>
      <x:c r="C283" t="inlineStr">
        <x:is>
          <x:t xml:space="preserve">Lisbon</x:t>
        </x:is>
      </x:c>
      <x:c r="D283" s="3" t="n">
        <x:v>6.9</x:v>
      </x:c>
      <x:c r="E283" s="3" t="n">
        <x:v>4.5</x:v>
      </x:c>
      <x:c r="F283" s="4" t="n">
        <x:v>99</x:v>
      </x:c>
      <x:c r="G283" s="4" t="n">
        <x:v>1017</x:v>
      </x:c>
      <x:c r="H283" t="inlineStr">
        <x:is>
          <x:t xml:space="preserve">moderate rain</x:t>
        </x:is>
      </x:c>
      <x:c r="I283" s="3" t="n">
        <x:v>26.7</x:v>
      </x:c>
    </x:row>
    <x:row r="284">
      <x:c r="A284" t="n">
        <x:v>283</x:v>
      </x:c>
      <x:c r="B284" s="2" t="n">
        <x:v>46046.90277777778</x:v>
      </x:c>
      <x:c r="C284" t="inlineStr">
        <x:is>
          <x:t xml:space="preserve">Lisbon</x:t>
        </x:is>
      </x:c>
      <x:c r="D284" s="3" t="n">
        <x:v>12.9</x:v>
      </x:c>
      <x:c r="E284" s="3" t="n">
        <x:v>13.2</x:v>
      </x:c>
      <x:c r="F284" s="4" t="n">
        <x:v>74</x:v>
      </x:c>
      <x:c r="G284" s="4" t="n">
        <x:v>1009</x:v>
      </x:c>
      <x:c r="H284" t="inlineStr">
        <x:is>
          <x:t xml:space="preserve">overcast clouds</x:t>
        </x:is>
      </x:c>
      <x:c r="I284" s="3" t="n">
        <x:v>24.8</x:v>
      </x:c>
    </x:row>
    <x:row r="285">
      <x:c r="A285" t="n">
        <x:v>284</x:v>
      </x:c>
      <x:c r="B285" s="2" t="n">
        <x:v>46047.84722222222</x:v>
      </x:c>
      <x:c r="C285" t="inlineStr">
        <x:is>
          <x:t xml:space="preserve">Lisbon</x:t>
        </x:is>
      </x:c>
      <x:c r="D285" s="3" t="n">
        <x:v>15.2</x:v>
      </x:c>
      <x:c r="E285" s="3" t="n">
        <x:v>14.5</x:v>
      </x:c>
      <x:c r="F285" s="4" t="n">
        <x:v>73</x:v>
      </x:c>
      <x:c r="G285" s="4" t="n">
        <x:v>1019</x:v>
      </x:c>
      <x:c r="H285" t="inlineStr">
        <x:is>
          <x:t xml:space="preserve">broken clouds</x:t>
        </x:is>
      </x:c>
      <x:c r="I285" s="3" t="n">
        <x:v>22.7</x:v>
      </x:c>
    </x:row>
    <x:row r="286">
      <x:c r="A286" t="n">
        <x:v>285</x:v>
      </x:c>
      <x:c r="B286" s="2" t="n">
        <x:v>46048.48611111111</x:v>
      </x:c>
      <x:c r="C286" t="inlineStr">
        <x:is>
          <x:t xml:space="preserve">Lisbon</x:t>
        </x:is>
      </x:c>
      <x:c r="D286" s="3" t="n">
        <x:v>9</x:v>
      </x:c>
      <x:c r="E286" s="3" t="n">
        <x:v>7.1</x:v>
      </x:c>
      <x:c r="F286" s="4" t="n">
        <x:v>80</x:v>
      </x:c>
      <x:c r="G286" s="4" t="n">
        <x:v>1019</x:v>
      </x:c>
      <x:c r="H286" t="inlineStr">
        <x:is>
          <x:t xml:space="preserve">overcast clouds</x:t>
        </x:is>
      </x:c>
      <x:c r="I286" s="3" t="n">
        <x:v>20.6</x:v>
      </x:c>
    </x:row>
    <x:row r="287">
      <x:c r="A287" t="n">
        <x:v>286</x:v>
      </x:c>
      <x:c r="B287" s="2" t="n">
        <x:v>46049.82638888889</x:v>
      </x:c>
      <x:c r="C287" t="inlineStr">
        <x:is>
          <x:t xml:space="preserve">Lisbon</x:t>
        </x:is>
      </x:c>
      <x:c r="D287" s="3" t="n">
        <x:v>14.5</x:v>
      </x:c>
      <x:c r="E287" s="3" t="n">
        <x:v>15.6</x:v>
      </x:c>
      <x:c r="F287" s="4" t="n">
        <x:v>96</x:v>
      </x:c>
      <x:c r="G287" s="4" t="n">
        <x:v>1019</x:v>
      </x:c>
      <x:c r="H287" t="inlineStr">
        <x:is>
          <x:t xml:space="preserve">mist</x:t>
        </x:is>
      </x:c>
      <x:c r="I287" s="3" t="n">
        <x:v>17</x:v>
      </x:c>
    </x:row>
    <x:row r="288">
      <x:c r="A288" t="n">
        <x:v>287</x:v>
      </x:c>
      <x:c r="B288" s="2" t="n">
        <x:v>46050.875</x:v>
      </x:c>
      <x:c r="C288" t="inlineStr">
        <x:is>
          <x:t xml:space="preserve">Lisbon</x:t>
        </x:is>
      </x:c>
      <x:c r="D288" s="3" t="n">
        <x:v>12</x:v>
      </x:c>
      <x:c r="E288" s="3" t="n">
        <x:v>12.2</x:v>
      </x:c>
      <x:c r="F288" s="4" t="n">
        <x:v>86</x:v>
      </x:c>
      <x:c r="G288" s="4" t="n">
        <x:v>1020</x:v>
      </x:c>
      <x:c r="H288" t="inlineStr">
        <x:is>
          <x:t xml:space="preserve">overcast clouds</x:t>
        </x:is>
      </x:c>
      <x:c r="I288" s="3" t="n">
        <x:v>18.4</x:v>
      </x:c>
    </x:row>
    <x:row r="289">
      <x:c r="A289" t="n">
        <x:v>288</x:v>
      </x:c>
      <x:c r="B289" s="2" t="n">
        <x:v>46051.88888888889</x:v>
      </x:c>
      <x:c r="C289" t="inlineStr">
        <x:is>
          <x:t xml:space="preserve">Lisbon</x:t>
        </x:is>
      </x:c>
      <x:c r="D289" s="3" t="n">
        <x:v>14</x:v>
      </x:c>
      <x:c r="E289" s="3" t="n">
        <x:v>14.6</x:v>
      </x:c>
      <x:c r="F289" s="4" t="n">
        <x:v>81</x:v>
      </x:c>
      <x:c r="G289" s="4" t="n">
        <x:v>1023</x:v>
      </x:c>
      <x:c r="H289" t="inlineStr">
        <x:is>
          <x:t xml:space="preserve">few clouds</x:t>
        </x:is>
      </x:c>
      <x:c r="I289" s="3" t="n">
        <x:v>22.7</x:v>
      </x:c>
    </x:row>
    <x:row r="290">
      <x:c r="A290" t="n">
        <x:v>289</x:v>
      </x:c>
      <x:c r="B290" s="2" t="n">
        <x:v>46052.80555555555</x:v>
      </x:c>
      <x:c r="C290" t="inlineStr">
        <x:is>
          <x:t xml:space="preserve">Lisbon</x:t>
        </x:is>
      </x:c>
      <x:c r="D290" s="3" t="n">
        <x:v>14.9</x:v>
      </x:c>
      <x:c r="E290" s="3" t="n">
        <x:v>14.3</x:v>
      </x:c>
      <x:c r="F290" s="4" t="n">
        <x:v>75</x:v>
      </x:c>
      <x:c r="G290" s="4" t="n">
        <x:v>1015</x:v>
      </x:c>
      <x:c r="H290" t="inlineStr">
        <x:is>
          <x:t xml:space="preserve">clear sky</x:t>
        </x:is>
      </x:c>
      <x:c r="I290" s="3" t="n">
        <x:v>20.5</x:v>
      </x:c>
    </x:row>
    <x:row r="291">
      <x:c r="A291" t="n">
        <x:v>290</x:v>
      </x:c>
      <x:c r="B291" s="2" t="n">
        <x:v>46053.70138888889</x:v>
      </x:c>
      <x:c r="C291" t="inlineStr">
        <x:is>
          <x:t xml:space="preserve">Lisbon</x:t>
        </x:is>
      </x:c>
      <x:c r="D291" s="3" t="n">
        <x:v>11</x:v>
      </x:c>
      <x:c r="E291" s="3" t="n">
        <x:v>9.199999999999999</x:v>
      </x:c>
      <x:c r="F291" s="4" t="n">
        <x:v>81</x:v>
      </x:c>
      <x:c r="G291" s="4" t="n">
        <x:v>1020</x:v>
      </x:c>
      <x:c r="H291" t="inlineStr">
        <x:is>
          <x:t xml:space="preserve">overcast clouds</x:t>
        </x:is>
      </x:c>
      <x:c r="I291" s="3" t="n">
        <x:v>20.7</x:v>
      </x:c>
    </x:row>
    <x:row r="292">
      <x:c r="A292" t="n">
        <x:v>291</x:v>
      </x:c>
      <x:c r="B292" s="2" t="n">
        <x:v>46054.38194444445</x:v>
      </x:c>
      <x:c r="C292" t="inlineStr">
        <x:is>
          <x:t xml:space="preserve">Lisbon</x:t>
        </x:is>
      </x:c>
      <x:c r="D292" s="3" t="n">
        <x:v>10.4</x:v>
      </x:c>
      <x:c r="E292" s="3" t="n">
        <x:v>9.4</x:v>
      </x:c>
      <x:c r="F292" s="4" t="n">
        <x:v>99</x:v>
      </x:c>
      <x:c r="G292" s="4" t="n">
        <x:v>1016</x:v>
      </x:c>
      <x:c r="H292" t="inlineStr">
        <x:is>
          <x:t xml:space="preserve">mist</x:t>
        </x:is>
      </x:c>
      <x:c r="I292" s="3" t="n">
        <x:v>18.9</x:v>
      </x:c>
    </x:row>
    <x:row r="293">
      <x:c r="A293" t="n">
        <x:v>292</x:v>
      </x:c>
      <x:c r="B293" s="2" t="n">
        <x:v>46055.6875</x:v>
      </x:c>
      <x:c r="C293" t="inlineStr">
        <x:is>
          <x:t xml:space="preserve">Lisbon</x:t>
        </x:is>
      </x:c>
      <x:c r="D293" s="3" t="n">
        <x:v>12.2</x:v>
      </x:c>
      <x:c r="E293" s="3" t="n">
        <x:v>13</x:v>
      </x:c>
      <x:c r="F293" s="4" t="n">
        <x:v>76</x:v>
      </x:c>
      <x:c r="G293" s="4" t="n">
        <x:v>1019</x:v>
      </x:c>
      <x:c r="H293" t="inlineStr">
        <x:is>
          <x:t xml:space="preserve">scattered clouds</x:t>
        </x:is>
      </x:c>
      <x:c r="I293" s="3" t="n">
        <x:v>17.2</x:v>
      </x:c>
    </x:row>
    <x:row r="294">
      <x:c r="A294" t="n">
        <x:v>293</x:v>
      </x:c>
      <x:c r="B294" s="2" t="n">
        <x:v>46056.88888888889</x:v>
      </x:c>
      <x:c r="C294" t="inlineStr">
        <x:is>
          <x:t xml:space="preserve">Lisbon</x:t>
        </x:is>
      </x:c>
      <x:c r="D294" s="3" t="n">
        <x:v>12.3</x:v>
      </x:c>
      <x:c r="E294" s="3" t="n">
        <x:v>11.9</x:v>
      </x:c>
      <x:c r="F294" s="4" t="n">
        <x:v>86</x:v>
      </x:c>
      <x:c r="G294" s="4" t="n">
        <x:v>1016</x:v>
      </x:c>
      <x:c r="H294" t="inlineStr">
        <x:is>
          <x:t xml:space="preserve">clear sky</x:t>
        </x:is>
      </x:c>
      <x:c r="I294" s="3" t="n">
        <x:v>17.7</x:v>
      </x:c>
    </x:row>
    <x:row r="295">
      <x:c r="A295" t="n">
        <x:v>294</x:v>
      </x:c>
      <x:c r="B295" s="2" t="n">
        <x:v>46057.77777777778</x:v>
      </x:c>
      <x:c r="C295" t="inlineStr">
        <x:is>
          <x:t xml:space="preserve">Lisbon</x:t>
        </x:is>
      </x:c>
      <x:c r="D295" s="3" t="n">
        <x:v>12.5</x:v>
      </x:c>
      <x:c r="E295" s="3" t="n">
        <x:v>12</x:v>
      </x:c>
      <x:c r="F295" s="4" t="n">
        <x:v>74</x:v>
      </x:c>
      <x:c r="G295" s="4" t="n">
        <x:v>1016</x:v>
      </x:c>
      <x:c r="H295" t="inlineStr">
        <x:is>
          <x:t xml:space="preserve">scattered clouds</x:t>
        </x:is>
      </x:c>
      <x:c r="I295" s="3" t="n">
        <x:v>16.4</x:v>
      </x:c>
    </x:row>
    <x:row r="296">
      <x:c r="A296" t="n">
        <x:v>295</x:v>
      </x:c>
      <x:c r="B296" s="2" t="n">
        <x:v>46058.3125</x:v>
      </x:c>
      <x:c r="C296" t="inlineStr">
        <x:is>
          <x:t xml:space="preserve">Lisbon</x:t>
        </x:is>
      </x:c>
      <x:c r="D296" s="3" t="n">
        <x:v>9.6</x:v>
      </x:c>
      <x:c r="E296" s="3" t="n">
        <x:v>7.7</x:v>
      </x:c>
      <x:c r="F296" s="4" t="n">
        <x:v>73</x:v>
      </x:c>
      <x:c r="G296" s="4" t="n">
        <x:v>1026</x:v>
      </x:c>
      <x:c r="H296" t="inlineStr">
        <x:is>
          <x:t xml:space="preserve">overcast clouds</x:t>
        </x:is>
      </x:c>
      <x:c r="I296" s="3" t="n">
        <x:v>24.3</x:v>
      </x:c>
    </x:row>
    <x:row r="297">
      <x:c r="A297" t="n">
        <x:v>296</x:v>
      </x:c>
      <x:c r="B297" s="2" t="n">
        <x:v>46059.34722222222</x:v>
      </x:c>
      <x:c r="C297" t="inlineStr">
        <x:is>
          <x:t xml:space="preserve">Lisbon</x:t>
        </x:is>
      </x:c>
      <x:c r="D297" s="3" t="n">
        <x:v>10.1</x:v>
      </x:c>
      <x:c r="E297" s="3" t="n">
        <x:v>8.199999999999999</x:v>
      </x:c>
      <x:c r="F297" s="4" t="n">
        <x:v>73</x:v>
      </x:c>
      <x:c r="G297" s="4" t="n">
        <x:v>1023</x:v>
      </x:c>
      <x:c r="H297" t="inlineStr">
        <x:is>
          <x:t xml:space="preserve">clear sky</x:t>
        </x:is>
      </x:c>
      <x:c r="I297" s="3" t="n">
        <x:v>19.5</x:v>
      </x:c>
    </x:row>
    <x:row r="298">
      <x:c r="A298" t="n">
        <x:v>297</x:v>
      </x:c>
      <x:c r="B298" s="2" t="n">
        <x:v>46060.59722222222</x:v>
      </x:c>
      <x:c r="C298" t="inlineStr">
        <x:is>
          <x:t xml:space="preserve">Lisbon</x:t>
        </x:is>
      </x:c>
      <x:c r="D298" s="3" t="n">
        <x:v>11.8</x:v>
      </x:c>
      <x:c r="E298" s="3" t="n">
        <x:v>10.7</x:v>
      </x:c>
      <x:c r="F298" s="4" t="n">
        <x:v>61</x:v>
      </x:c>
      <x:c r="G298" s="4" t="n">
        <x:v>1023</x:v>
      </x:c>
      <x:c r="H298" t="inlineStr">
        <x:is>
          <x:t xml:space="preserve">clear sky</x:t>
        </x:is>
      </x:c>
      <x:c r="I298" s="3" t="n">
        <x:v>25.9</x:v>
      </x:c>
    </x:row>
    <x:row r="299">
      <x:c r="A299" t="n">
        <x:v>298</x:v>
      </x:c>
      <x:c r="B299" s="2" t="n">
        <x:v>46061.39583333334</x:v>
      </x:c>
      <x:c r="C299" t="inlineStr">
        <x:is>
          <x:t xml:space="preserve">Lisbon</x:t>
        </x:is>
      </x:c>
      <x:c r="D299" s="3" t="n">
        <x:v>8.199999999999999</x:v>
      </x:c>
      <x:c r="E299" s="3" t="n">
        <x:v>7.1</x:v>
      </x:c>
      <x:c r="F299" s="4" t="n">
        <x:v>89</x:v>
      </x:c>
      <x:c r="G299" s="4" t="n">
        <x:v>1016</x:v>
      </x:c>
      <x:c r="H299" t="inlineStr">
        <x:is>
          <x:t xml:space="preserve">drizzle</x:t>
        </x:is>
      </x:c>
      <x:c r="I299" s="3" t="n">
        <x:v>19.7</x:v>
      </x:c>
    </x:row>
    <x:row r="300">
      <x:c r="A300" t="n">
        <x:v>299</x:v>
      </x:c>
      <x:c r="B300" s="2" t="n">
        <x:v>46062.28472222222</x:v>
      </x:c>
      <x:c r="C300" t="inlineStr">
        <x:is>
          <x:t xml:space="preserve">Lisbon</x:t>
        </x:is>
      </x:c>
      <x:c r="D300" s="3" t="n">
        <x:v>8.5</x:v>
      </x:c>
      <x:c r="E300" s="3" t="n">
        <x:v>7.5</x:v>
      </x:c>
      <x:c r="F300" s="4" t="n">
        <x:v>90</x:v>
      </x:c>
      <x:c r="G300" s="4" t="n">
        <x:v>1024</x:v>
      </x:c>
      <x:c r="H300" t="inlineStr">
        <x:is>
          <x:t xml:space="preserve">scattered clouds</x:t>
        </x:is>
      </x:c>
      <x:c r="I300" s="3" t="n">
        <x:v>24.5</x:v>
      </x:c>
    </x:row>
    <x:row r="301">
      <x:c r="A301" t="n">
        <x:v>300</x:v>
      </x:c>
      <x:c r="B301" s="2" t="n">
        <x:v>46063.85416666666</x:v>
      </x:c>
      <x:c r="C301" t="inlineStr">
        <x:is>
          <x:t xml:space="preserve">Lisbon</x:t>
        </x:is>
      </x:c>
      <x:c r="D301" s="3" t="n">
        <x:v>11.6</x:v>
      </x:c>
      <x:c r="E301" s="3" t="n">
        <x:v>9.6</x:v>
      </x:c>
      <x:c r="F301" s="4" t="n">
        <x:v>99</x:v>
      </x:c>
      <x:c r="G301" s="4" t="n">
        <x:v>1009</x:v>
      </x:c>
      <x:c r="H301" t="inlineStr">
        <x:is>
          <x:t xml:space="preserve">moderate rain</x:t>
        </x:is>
      </x:c>
      <x:c r="I301" s="3" t="n">
        <x:v>21.8</x:v>
      </x:c>
    </x:row>
    <x:row r="302">
      <x:c r="A302" t="n">
        <x:v>301</x:v>
      </x:c>
      <x:c r="B302" s="2" t="n">
        <x:v>46064.29861111111</x:v>
      </x:c>
      <x:c r="C302" t="inlineStr">
        <x:is>
          <x:t xml:space="preserve">Lisbon</x:t>
        </x:is>
      </x:c>
      <x:c r="D302" s="3" t="n">
        <x:v>12.5</x:v>
      </x:c>
      <x:c r="E302" s="3" t="n">
        <x:v>11.9</x:v>
      </x:c>
      <x:c r="F302" s="4" t="n">
        <x:v>78</x:v>
      </x:c>
      <x:c r="G302" s="4" t="n">
        <x:v>1013</x:v>
      </x:c>
      <x:c r="H302" t="inlineStr">
        <x:is>
          <x:t xml:space="preserve">clear sky</x:t>
        </x:is>
      </x:c>
      <x:c r="I302" s="3" t="n">
        <x:v>20.7</x:v>
      </x:c>
    </x:row>
    <x:row r="303">
      <x:c r="A303" t="n">
        <x:v>302</x:v>
      </x:c>
      <x:c r="B303" s="2" t="n">
        <x:v>46065.73611111111</x:v>
      </x:c>
      <x:c r="C303" t="inlineStr">
        <x:is>
          <x:t xml:space="preserve">Lisbon</x:t>
        </x:is>
      </x:c>
      <x:c r="D303" s="3" t="n">
        <x:v>12.3</x:v>
      </x:c>
      <x:c r="E303" s="3" t="n">
        <x:v>12</x:v>
      </x:c>
      <x:c r="F303" s="4" t="n">
        <x:v>81</x:v>
      </x:c>
      <x:c r="G303" s="4" t="n">
        <x:v>1014</x:v>
      </x:c>
      <x:c r="H303" t="inlineStr">
        <x:is>
          <x:t xml:space="preserve">scattered clouds</x:t>
        </x:is>
      </x:c>
      <x:c r="I303" s="3" t="n">
        <x:v>18.9</x:v>
      </x:c>
    </x:row>
    <x:row r="304">
      <x:c r="A304" t="n">
        <x:v>303</x:v>
      </x:c>
      <x:c r="B304" s="2" t="n">
        <x:v>46066.90972222222</x:v>
      </x:c>
      <x:c r="C304" t="inlineStr">
        <x:is>
          <x:t xml:space="preserve">Lisbon</x:t>
        </x:is>
      </x:c>
      <x:c r="D304" s="3" t="n">
        <x:v>14.2</x:v>
      </x:c>
      <x:c r="E304" s="3" t="n">
        <x:v>15.3</x:v>
      </x:c>
      <x:c r="F304" s="4" t="n">
        <x:v>79</x:v>
      </x:c>
      <x:c r="G304" s="4" t="n">
        <x:v>1011</x:v>
      </x:c>
      <x:c r="H304" t="inlineStr">
        <x:is>
          <x:t xml:space="preserve">thunderstorm</x:t>
        </x:is>
      </x:c>
      <x:c r="I304" s="3" t="n">
        <x:v>27.6</x:v>
      </x:c>
    </x:row>
    <x:row r="305">
      <x:c r="A305" t="n">
        <x:v>304</x:v>
      </x:c>
      <x:c r="B305" s="2" t="n">
        <x:v>46067.83333333334</x:v>
      </x:c>
      <x:c r="C305" t="inlineStr">
        <x:is>
          <x:t xml:space="preserve">Lisbon</x:t>
        </x:is>
      </x:c>
      <x:c r="D305" s="3" t="n">
        <x:v>16.1</x:v>
      </x:c>
      <x:c r="E305" s="3" t="n">
        <x:v>16</x:v>
      </x:c>
      <x:c r="F305" s="4" t="n">
        <x:v>87</x:v>
      </x:c>
      <x:c r="G305" s="4" t="n">
        <x:v>1016</x:v>
      </x:c>
      <x:c r="H305" t="inlineStr">
        <x:is>
          <x:t xml:space="preserve">broken clouds</x:t>
        </x:is>
      </x:c>
      <x:c r="I305" s="3" t="n">
        <x:v>16.8</x:v>
      </x:c>
    </x:row>
    <x:row r="306">
      <x:c r="A306" t="n">
        <x:v>305</x:v>
      </x:c>
      <x:c r="B306" s="2" t="n">
        <x:v>46068.51388888889</x:v>
      </x:c>
      <x:c r="C306" t="inlineStr">
        <x:is>
          <x:t xml:space="preserve">Lisbon</x:t>
        </x:is>
      </x:c>
      <x:c r="D306" s="3" t="n">
        <x:v>8.9</x:v>
      </x:c>
      <x:c r="E306" s="3" t="n">
        <x:v>8</x:v>
      </x:c>
      <x:c r="F306" s="4" t="n">
        <x:v>85</x:v>
      </x:c>
      <x:c r="G306" s="4" t="n">
        <x:v>1020</x:v>
      </x:c>
      <x:c r="H306" t="inlineStr">
        <x:is>
          <x:t xml:space="preserve">clear sky</x:t>
        </x:is>
      </x:c>
      <x:c r="I306" s="3" t="n">
        <x:v>19.8</x:v>
      </x:c>
    </x:row>
    <x:row r="307">
      <x:c r="A307" t="n">
        <x:v>306</x:v>
      </x:c>
      <x:c r="B307" s="2" t="n">
        <x:v>46069.43055555555</x:v>
      </x:c>
      <x:c r="C307" t="inlineStr">
        <x:is>
          <x:t xml:space="preserve">Lisbon</x:t>
        </x:is>
      </x:c>
      <x:c r="D307" s="3" t="n">
        <x:v>9.199999999999999</x:v>
      </x:c>
      <x:c r="E307" s="3" t="n">
        <x:v>8.699999999999999</x:v>
      </x:c>
      <x:c r="F307" s="4" t="n">
        <x:v>86</x:v>
      </x:c>
      <x:c r="G307" s="4" t="n">
        <x:v>1020</x:v>
      </x:c>
      <x:c r="H307" t="inlineStr">
        <x:is>
          <x:t xml:space="preserve">light rain</x:t>
        </x:is>
      </x:c>
      <x:c r="I307" s="3" t="n">
        <x:v>19.1</x:v>
      </x:c>
    </x:row>
    <x:row r="308">
      <x:c r="A308" t="n">
        <x:v>307</x:v>
      </x:c>
      <x:c r="B308" s="2" t="n">
        <x:v>46070.86805555555</x:v>
      </x:c>
      <x:c r="C308" t="inlineStr">
        <x:is>
          <x:t xml:space="preserve">Lisbon</x:t>
        </x:is>
      </x:c>
      <x:c r="D308" s="3" t="n">
        <x:v>14.5</x:v>
      </x:c>
      <x:c r="E308" s="3" t="n">
        <x:v>14.4</x:v>
      </x:c>
      <x:c r="F308" s="4" t="n">
        <x:v>70</x:v>
      </x:c>
      <x:c r="G308" s="4" t="n">
        <x:v>1018</x:v>
      </x:c>
      <x:c r="H308" t="inlineStr">
        <x:is>
          <x:t xml:space="preserve">clear sky</x:t>
        </x:is>
      </x:c>
      <x:c r="I308" s="3" t="n">
        <x:v>20</x:v>
      </x:c>
    </x:row>
    <x:row r="309">
      <x:c r="A309" t="n">
        <x:v>308</x:v>
      </x:c>
      <x:c r="B309" s="2" t="n">
        <x:v>46072.875</x:v>
      </x:c>
      <x:c r="C309" t="inlineStr">
        <x:is>
          <x:t xml:space="preserve">Lisbon</x:t>
        </x:is>
      </x:c>
      <x:c r="D309" s="3" t="n">
        <x:v>16.5</x:v>
      </x:c>
      <x:c r="E309" s="3" t="n">
        <x:v>16.5</x:v>
      </x:c>
      <x:c r="F309" s="4" t="n">
        <x:v>76</x:v>
      </x:c>
      <x:c r="G309" s="4" t="n">
        <x:v>1020</x:v>
      </x:c>
      <x:c r="H309" t="inlineStr">
        <x:is>
          <x:t xml:space="preserve">clear sky</x:t>
        </x:is>
      </x:c>
      <x:c r="I309" s="3" t="n">
        <x:v>23.5</x:v>
      </x:c>
    </x:row>
    <x:row r="310">
      <x:c r="A310" t="n">
        <x:v>309</x:v>
      </x:c>
      <x:c r="B310" s="2" t="n">
        <x:v>46073.28472222222</x:v>
      </x:c>
      <x:c r="C310" t="inlineStr">
        <x:is>
          <x:t xml:space="preserve">Lisbon</x:t>
        </x:is>
      </x:c>
      <x:c r="D310" s="3" t="n">
        <x:v>9.800000000000001</x:v>
      </x:c>
      <x:c r="E310" s="3" t="n">
        <x:v>9.1</x:v>
      </x:c>
      <x:c r="F310" s="4" t="n">
        <x:v>88</x:v>
      </x:c>
      <x:c r="G310" s="4" t="n">
        <x:v>1024</x:v>
      </x:c>
      <x:c r="H310" t="inlineStr">
        <x:is>
          <x:t xml:space="preserve">broken clouds</x:t>
        </x:is>
      </x:c>
      <x:c r="I310" s="3" t="n">
        <x:v>24.8</x:v>
      </x:c>
    </x:row>
    <x:row r="311">
      <x:c r="A311" t="n">
        <x:v>310</x:v>
      </x:c>
      <x:c r="B311" s="2" t="n">
        <x:v>46074.57638888889</x:v>
      </x:c>
      <x:c r="C311" t="inlineStr">
        <x:is>
          <x:t xml:space="preserve">Lisbon</x:t>
        </x:is>
      </x:c>
      <x:c r="D311" s="3" t="n">
        <x:v>11.5</x:v>
      </x:c>
      <x:c r="E311" s="3" t="n">
        <x:v>11.9</x:v>
      </x:c>
      <x:c r="F311" s="4" t="n">
        <x:v>98</x:v>
      </x:c>
      <x:c r="G311" s="4" t="n">
        <x:v>1017</x:v>
      </x:c>
      <x:c r="H311" t="inlineStr">
        <x:is>
          <x:t xml:space="preserve">mist</x:t>
        </x:is>
      </x:c>
      <x:c r="I311" s="3" t="n">
        <x:v>14.9</x:v>
      </x:c>
    </x:row>
    <x:row r="312">
      <x:c r="A312" t="n">
        <x:v>311</x:v>
      </x:c>
      <x:c r="B312" s="2" t="n">
        <x:v>46075.47222222222</x:v>
      </x:c>
      <x:c r="C312" t="inlineStr">
        <x:is>
          <x:t xml:space="preserve">Lisbon</x:t>
        </x:is>
      </x:c>
      <x:c r="D312" s="3" t="n">
        <x:v>12.2</x:v>
      </x:c>
      <x:c r="E312" s="3" t="n">
        <x:v>11.6</x:v>
      </x:c>
      <x:c r="F312" s="4" t="n">
        <x:v>67</x:v>
      </x:c>
      <x:c r="G312" s="4" t="n">
        <x:v>1014</x:v>
      </x:c>
      <x:c r="H312" t="inlineStr">
        <x:is>
          <x:t xml:space="preserve">overcast clouds</x:t>
        </x:is>
      </x:c>
      <x:c r="I312" s="3" t="n">
        <x:v>19.7</x:v>
      </x:c>
    </x:row>
    <x:row r="313">
      <x:c r="A313" t="n">
        <x:v>312</x:v>
      </x:c>
      <x:c r="B313" s="2" t="n">
        <x:v>46076.27777777778</x:v>
      </x:c>
      <x:c r="C313" t="inlineStr">
        <x:is>
          <x:t xml:space="preserve">Lisbon</x:t>
        </x:is>
      </x:c>
      <x:c r="D313" s="3" t="n">
        <x:v>11.9</x:v>
      </x:c>
      <x:c r="E313" s="3" t="n">
        <x:v>10.8</x:v>
      </x:c>
      <x:c r="F313" s="4" t="n">
        <x:v>89</x:v>
      </x:c>
      <x:c r="G313" s="4" t="n">
        <x:v>1022</x:v>
      </x:c>
      <x:c r="H313" t="inlineStr">
        <x:is>
          <x:t xml:space="preserve">scattered clouds</x:t>
        </x:is>
      </x:c>
      <x:c r="I313" s="3" t="n">
        <x:v>22</x:v>
      </x:c>
    </x:row>
    <x:row r="314">
      <x:c r="A314" t="n">
        <x:v>313</x:v>
      </x:c>
      <x:c r="B314" s="2" t="n">
        <x:v>46077.79166666666</x:v>
      </x:c>
      <x:c r="C314" t="inlineStr">
        <x:is>
          <x:t xml:space="preserve">Lisbon</x:t>
        </x:is>
      </x:c>
      <x:c r="D314" s="3" t="n">
        <x:v>13.8</x:v>
      </x:c>
      <x:c r="E314" s="3" t="n">
        <x:v>13.3</x:v>
      </x:c>
      <x:c r="F314" s="4" t="n">
        <x:v>81</x:v>
      </x:c>
      <x:c r="G314" s="4" t="n">
        <x:v>1011</x:v>
      </x:c>
      <x:c r="H314" t="inlineStr">
        <x:is>
          <x:t xml:space="preserve">clear sky</x:t>
        </x:is>
      </x:c>
      <x:c r="I314" s="3" t="n">
        <x:v>19.7</x:v>
      </x:c>
    </x:row>
    <x:row r="315">
      <x:c r="A315" t="n">
        <x:v>314</x:v>
      </x:c>
      <x:c r="B315" s="2" t="n">
        <x:v>46079.54166666666</x:v>
      </x:c>
      <x:c r="C315" t="inlineStr">
        <x:is>
          <x:t xml:space="preserve">Lisbon</x:t>
        </x:is>
      </x:c>
      <x:c r="D315" s="3" t="n">
        <x:v>13.7</x:v>
      </x:c>
      <x:c r="E315" s="3" t="n">
        <x:v>13.4</x:v>
      </x:c>
      <x:c r="F315" s="4" t="n">
        <x:v>91</x:v>
      </x:c>
      <x:c r="G315" s="4" t="n">
        <x:v>1014</x:v>
      </x:c>
      <x:c r="H315" t="inlineStr">
        <x:is>
          <x:t xml:space="preserve">clear sky</x:t>
        </x:is>
      </x:c>
      <x:c r="I315" s="3" t="n">
        <x:v>22.4</x:v>
      </x:c>
    </x:row>
    <x:row r="316">
      <x:c r="A316" t="n">
        <x:v>315</x:v>
      </x:c>
      <x:c r="B316" s="2" t="n">
        <x:v>46080.83333333334</x:v>
      </x:c>
      <x:c r="C316" t="inlineStr">
        <x:is>
          <x:t xml:space="preserve">Lisbon</x:t>
        </x:is>
      </x:c>
      <x:c r="D316" s="3" t="n">
        <x:v>13.5</x:v>
      </x:c>
      <x:c r="E316" s="3" t="n">
        <x:v>13.6</x:v>
      </x:c>
      <x:c r="F316" s="4" t="n">
        <x:v>71</x:v>
      </x:c>
      <x:c r="G316" s="4" t="n">
        <x:v>1015</x:v>
      </x:c>
      <x:c r="H316" t="inlineStr">
        <x:is>
          <x:t xml:space="preserve">clear sky</x:t>
        </x:is>
      </x:c>
      <x:c r="I316" s="3" t="n">
        <x:v>18.7</x:v>
      </x:c>
    </x:row>
    <x:row r="317">
      <x:c r="A317" t="n">
        <x:v>316</x:v>
      </x:c>
      <x:c r="B317" s="2" t="n">
        <x:v>46081.4375</x:v>
      </x:c>
      <x:c r="C317" t="inlineStr">
        <x:is>
          <x:t xml:space="preserve">Lisbon</x:t>
        </x:is>
      </x:c>
      <x:c r="D317" s="3" t="n">
        <x:v>11.3</x:v>
      </x:c>
      <x:c r="E317" s="3" t="n">
        <x:v>10.7</x:v>
      </x:c>
      <x:c r="F317" s="4" t="n">
        <x:v>78</x:v>
      </x:c>
      <x:c r="G317" s="4" t="n">
        <x:v>1022</x:v>
      </x:c>
      <x:c r="H317" t="inlineStr">
        <x:is>
          <x:t xml:space="preserve">overcast clouds</x:t>
        </x:is>
      </x:c>
      <x:c r="I317" s="3" t="n">
        <x:v>19.2</x:v>
      </x:c>
    </x:row>
    <x:row r="318">
      <x:c r="A318" t="n">
        <x:v>317</x:v>
      </x:c>
      <x:c r="B318" s="2" t="n">
        <x:v>46082.65277777778</x:v>
      </x:c>
      <x:c r="C318" t="inlineStr">
        <x:is>
          <x:t xml:space="preserve">Lisbon</x:t>
        </x:is>
      </x:c>
      <x:c r="D318" s="3" t="n">
        <x:v>11.2</x:v>
      </x:c>
      <x:c r="E318" s="3" t="n">
        <x:v>10.7</x:v>
      </x:c>
      <x:c r="F318" s="4" t="n">
        <x:v>76</x:v>
      </x:c>
      <x:c r="G318" s="4" t="n">
        <x:v>1014</x:v>
      </x:c>
      <x:c r="H318" t="inlineStr">
        <x:is>
          <x:t xml:space="preserve">few clouds</x:t>
        </x:is>
      </x:c>
      <x:c r="I318" s="3" t="n">
        <x:v>15.9</x:v>
      </x:c>
    </x:row>
    <x:row r="319">
      <x:c r="A319" t="n">
        <x:v>318</x:v>
      </x:c>
      <x:c r="B319" s="2" t="n">
        <x:v>46083.60416666666</x:v>
      </x:c>
      <x:c r="C319" t="inlineStr">
        <x:is>
          <x:t xml:space="preserve">Lisbon</x:t>
        </x:is>
      </x:c>
      <x:c r="D319" s="3" t="n">
        <x:v>8.300000000000001</x:v>
      </x:c>
      <x:c r="E319" s="3" t="n">
        <x:v>7.2</x:v>
      </x:c>
      <x:c r="F319" s="4" t="n">
        <x:v>70</x:v>
      </x:c>
      <x:c r="G319" s="4" t="n">
        <x:v>1013</x:v>
      </x:c>
      <x:c r="H319" t="inlineStr">
        <x:is>
          <x:t xml:space="preserve">clear sky</x:t>
        </x:is>
      </x:c>
      <x:c r="I319" s="3" t="n">
        <x:v>18.2</x:v>
      </x:c>
    </x:row>
    <x:row r="320">
      <x:c r="A320" t="n">
        <x:v>319</x:v>
      </x:c>
      <x:c r="B320" s="2" t="n">
        <x:v>46084.89583333334</x:v>
      </x:c>
      <x:c r="C320" t="inlineStr">
        <x:is>
          <x:t xml:space="preserve">Lisbon</x:t>
        </x:is>
      </x:c>
      <x:c r="D320" s="3" t="n">
        <x:v>13.8</x:v>
      </x:c>
      <x:c r="E320" s="3" t="n">
        <x:v>12.9</x:v>
      </x:c>
      <x:c r="F320" s="4" t="n">
        <x:v>79</x:v>
      </x:c>
      <x:c r="G320" s="4" t="n">
        <x:v>1014</x:v>
      </x:c>
      <x:c r="H320" t="inlineStr">
        <x:is>
          <x:t xml:space="preserve">thunderstorm</x:t>
        </x:is>
      </x:c>
      <x:c r="I320" s="3" t="n">
        <x:v>31.9</x:v>
      </x:c>
    </x:row>
    <x:row r="321">
      <x:c r="A321" t="n">
        <x:v>320</x:v>
      </x:c>
      <x:c r="B321" s="2" t="n">
        <x:v>46085.5625</x:v>
      </x:c>
      <x:c r="C321" t="inlineStr">
        <x:is>
          <x:t xml:space="preserve">Lisbon</x:t>
        </x:is>
      </x:c>
      <x:c r="D321" s="3" t="n">
        <x:v>13.2</x:v>
      </x:c>
      <x:c r="E321" s="3" t="n">
        <x:v>13.5</x:v>
      </x:c>
      <x:c r="F321" s="4" t="n">
        <x:v>71</x:v>
      </x:c>
      <x:c r="G321" s="4" t="n">
        <x:v>1020</x:v>
      </x:c>
      <x:c r="H321" t="inlineStr">
        <x:is>
          <x:t xml:space="preserve">clear sky</x:t>
        </x:is>
      </x:c>
      <x:c r="I321" s="3" t="n">
        <x:v>23.6</x:v>
      </x:c>
    </x:row>
    <x:row r="322">
      <x:c r="A322" t="n">
        <x:v>321</x:v>
      </x:c>
      <x:c r="B322" s="2" t="n">
        <x:v>46086.4375</x:v>
      </x:c>
      <x:c r="C322" t="inlineStr">
        <x:is>
          <x:t xml:space="preserve">Lisbon</x:t>
        </x:is>
      </x:c>
      <x:c r="D322" s="3" t="n">
        <x:v>11.9</x:v>
      </x:c>
      <x:c r="E322" s="3" t="n">
        <x:v>10.7</x:v>
      </x:c>
      <x:c r="F322" s="4" t="n">
        <x:v>69</x:v>
      </x:c>
      <x:c r="G322" s="4" t="n">
        <x:v>1021</x:v>
      </x:c>
      <x:c r="H322" t="inlineStr">
        <x:is>
          <x:t xml:space="preserve">few clouds</x:t>
        </x:is>
      </x:c>
      <x:c r="I322" s="3" t="n">
        <x:v>23.4</x:v>
      </x:c>
    </x:row>
    <x:row r="323">
      <x:c r="A323" t="n">
        <x:v>322</x:v>
      </x:c>
      <x:c r="B323" s="2" t="n">
        <x:v>46087.52777777778</x:v>
      </x:c>
      <x:c r="C323" t="inlineStr">
        <x:is>
          <x:t xml:space="preserve">Lisbon</x:t>
        </x:is>
      </x:c>
      <x:c r="D323" s="3" t="n">
        <x:v>14.6</x:v>
      </x:c>
      <x:c r="E323" s="3" t="n">
        <x:v>15.3</x:v>
      </x:c>
      <x:c r="F323" s="4" t="n">
        <x:v>90</x:v>
      </x:c>
      <x:c r="G323" s="4" t="n">
        <x:v>1020</x:v>
      </x:c>
      <x:c r="H323" t="inlineStr">
        <x:is>
          <x:t xml:space="preserve">clear sky</x:t>
        </x:is>
      </x:c>
      <x:c r="I323" s="3" t="n">
        <x:v>22</x:v>
      </x:c>
    </x:row>
    <x:row r="324">
      <x:c r="A324" t="n">
        <x:v>323</x:v>
      </x:c>
      <x:c r="B324" s="2" t="n">
        <x:v>46088.41666666666</x:v>
      </x:c>
      <x:c r="C324" t="inlineStr">
        <x:is>
          <x:t xml:space="preserve">Lisbon</x:t>
        </x:is>
      </x:c>
      <x:c r="D324" s="3" t="n">
        <x:v>12.8</x:v>
      </x:c>
      <x:c r="E324" s="3" t="n">
        <x:v>12.4</x:v>
      </x:c>
      <x:c r="F324" s="4" t="n">
        <x:v>98</x:v>
      </x:c>
      <x:c r="G324" s="4" t="n">
        <x:v>1016</x:v>
      </x:c>
      <x:c r="H324" t="inlineStr">
        <x:is>
          <x:t xml:space="preserve">light rain</x:t>
        </x:is>
      </x:c>
      <x:c r="I324" s="3" t="n">
        <x:v>17</x:v>
      </x:c>
    </x:row>
    <x:row r="325">
      <x:c r="A325" t="n">
        <x:v>324</x:v>
      </x:c>
      <x:c r="B325" s="2" t="n">
        <x:v>46089.60416666666</x:v>
      </x:c>
      <x:c r="C325" t="inlineStr">
        <x:is>
          <x:t xml:space="preserve">Lisbon</x:t>
        </x:is>
      </x:c>
      <x:c r="D325" s="3" t="n">
        <x:v>13.7</x:v>
      </x:c>
      <x:c r="E325" s="3" t="n">
        <x:v>14</x:v>
      </x:c>
      <x:c r="F325" s="4" t="n">
        <x:v>96</x:v>
      </x:c>
      <x:c r="G325" s="4" t="n">
        <x:v>1017</x:v>
      </x:c>
      <x:c r="H325" t="inlineStr">
        <x:is>
          <x:t xml:space="preserve">scattered clouds</x:t>
        </x:is>
      </x:c>
      <x:c r="I325" s="3" t="n">
        <x:v>17.5</x:v>
      </x:c>
    </x:row>
    <x:row r="326">
      <x:c r="A326" t="n">
        <x:v>325</x:v>
      </x:c>
      <x:c r="B326" s="2" t="n">
        <x:v>46091.69444444445</x:v>
      </x:c>
      <x:c r="C326" t="inlineStr">
        <x:is>
          <x:t xml:space="preserve">Lisbon</x:t>
        </x:is>
      </x:c>
      <x:c r="D326" s="3" t="n">
        <x:v>14.6</x:v>
      </x:c>
      <x:c r="E326" s="3" t="n">
        <x:v>15.2</x:v>
      </x:c>
      <x:c r="F326" s="4" t="n">
        <x:v>83</x:v>
      </x:c>
      <x:c r="G326" s="4" t="n">
        <x:v>1021</x:v>
      </x:c>
      <x:c r="H326" t="inlineStr">
        <x:is>
          <x:t xml:space="preserve">overcast clouds</x:t>
        </x:is>
      </x:c>
      <x:c r="I326" s="3" t="n">
        <x:v>25.4</x:v>
      </x:c>
    </x:row>
    <x:row r="327">
      <x:c r="A327" t="n">
        <x:v>326</x:v>
      </x:c>
      <x:c r="B327" s="2" t="n">
        <x:v>46092.58333333334</x:v>
      </x:c>
      <x:c r="C327" t="inlineStr">
        <x:is>
          <x:t xml:space="preserve">Lisbon</x:t>
        </x:is>
      </x:c>
      <x:c r="D327" s="3" t="n">
        <x:v>12.7</x:v>
      </x:c>
      <x:c r="E327" s="3" t="n">
        <x:v>11.7</x:v>
      </x:c>
      <x:c r="F327" s="4" t="n">
        <x:v>59</x:v>
      </x:c>
      <x:c r="G327" s="4" t="n">
        <x:v>1017</x:v>
      </x:c>
      <x:c r="H327" t="inlineStr">
        <x:is>
          <x:t xml:space="preserve">clear sky</x:t>
        </x:is>
      </x:c>
      <x:c r="I327" s="3" t="n">
        <x:v>17.1</x:v>
      </x:c>
    </x:row>
    <x:row r="328">
      <x:c r="A328" t="n">
        <x:v>327</x:v>
      </x:c>
      <x:c r="B328" s="2" t="n">
        <x:v>46093.65972222222</x:v>
      </x:c>
      <x:c r="C328" t="inlineStr">
        <x:is>
          <x:t xml:space="preserve">Lisbon</x:t>
        </x:is>
      </x:c>
      <x:c r="D328" s="3" t="n">
        <x:v>17</x:v>
      </x:c>
      <x:c r="E328" s="3" t="n">
        <x:v>17.8</x:v>
      </x:c>
      <x:c r="F328" s="4" t="n">
        <x:v>74</x:v>
      </x:c>
      <x:c r="G328" s="4" t="n">
        <x:v>1019</x:v>
      </x:c>
      <x:c r="H328" t="inlineStr">
        <x:is>
          <x:t xml:space="preserve">clear sky</x:t>
        </x:is>
      </x:c>
      <x:c r="I328" s="3" t="n">
        <x:v>24.3</x:v>
      </x:c>
    </x:row>
    <x:row r="329">
      <x:c r="A329" t="n">
        <x:v>328</x:v>
      </x:c>
      <x:c r="B329" s="2" t="n">
        <x:v>46094.65277777778</x:v>
      </x:c>
      <x:c r="C329" t="inlineStr">
        <x:is>
          <x:t xml:space="preserve">Lisbon</x:t>
        </x:is>
      </x:c>
      <x:c r="D329" s="3" t="n">
        <x:v>12.2</x:v>
      </x:c>
      <x:c r="E329" s="3" t="n">
        <x:v>11.1</x:v>
      </x:c>
      <x:c r="F329" s="4" t="n">
        <x:v>90</x:v>
      </x:c>
      <x:c r="G329" s="4" t="n">
        <x:v>1014</x:v>
      </x:c>
      <x:c r="H329" t="inlineStr">
        <x:is>
          <x:t xml:space="preserve">drizzle</x:t>
        </x:is>
      </x:c>
      <x:c r="I329" s="3" t="n">
        <x:v>21.8</x:v>
      </x:c>
    </x:row>
    <x:row r="330">
      <x:c r="A330" t="n">
        <x:v>329</x:v>
      </x:c>
      <x:c r="B330" s="2" t="n">
        <x:v>46095.88194444445</x:v>
      </x:c>
      <x:c r="C330" t="inlineStr">
        <x:is>
          <x:t xml:space="preserve">Lisbon</x:t>
        </x:is>
      </x:c>
      <x:c r="D330" s="3" t="n">
        <x:v>13.8</x:v>
      </x:c>
      <x:c r="E330" s="3" t="n">
        <x:v>14.3</x:v>
      </x:c>
      <x:c r="F330" s="4" t="n">
        <x:v>73</x:v>
      </x:c>
      <x:c r="G330" s="4" t="n">
        <x:v>1024</x:v>
      </x:c>
      <x:c r="H330" t="inlineStr">
        <x:is>
          <x:t xml:space="preserve">drizzle</x:t>
        </x:is>
      </x:c>
      <x:c r="I330" s="3" t="n">
        <x:v>27.2</x:v>
      </x:c>
    </x:row>
    <x:row r="331">
      <x:c r="A331" t="n">
        <x:v>330</x:v>
      </x:c>
      <x:c r="B331" s="2" t="n">
        <x:v>46096.86111111111</x:v>
      </x:c>
      <x:c r="C331" t="inlineStr">
        <x:is>
          <x:t xml:space="preserve">Lisbon</x:t>
        </x:is>
      </x:c>
      <x:c r="D331" s="3" t="n">
        <x:v>17.3</x:v>
      </x:c>
      <x:c r="E331" s="3" t="n">
        <x:v>16.5</x:v>
      </x:c>
      <x:c r="F331" s="4" t="n">
        <x:v>93</x:v>
      </x:c>
      <x:c r="G331" s="4" t="n">
        <x:v>1022</x:v>
      </x:c>
      <x:c r="H331" t="inlineStr">
        <x:is>
          <x:t xml:space="preserve">drizzle</x:t>
        </x:is>
      </x:c>
      <x:c r="I331" s="3" t="n">
        <x:v>29.6</x:v>
      </x:c>
    </x:row>
    <x:row r="332">
      <x:c r="A332" t="n">
        <x:v>331</x:v>
      </x:c>
      <x:c r="B332" s="2" t="n">
        <x:v>46097.88888888889</x:v>
      </x:c>
      <x:c r="C332" t="inlineStr">
        <x:is>
          <x:t xml:space="preserve">Lisbon</x:t>
        </x:is>
      </x:c>
      <x:c r="D332" s="3" t="n">
        <x:v>15.6</x:v>
      </x:c>
      <x:c r="E332" s="3" t="n">
        <x:v>16.1</x:v>
      </x:c>
      <x:c r="F332" s="4" t="n">
        <x:v>84</x:v>
      </x:c>
      <x:c r="G332" s="4" t="n">
        <x:v>1018</x:v>
      </x:c>
      <x:c r="H332" t="inlineStr">
        <x:is>
          <x:t xml:space="preserve">few clouds</x:t>
        </x:is>
      </x:c>
      <x:c r="I332" s="3" t="n">
        <x:v>19.2</x:v>
      </x:c>
    </x:row>
    <x:row r="333">
      <x:c r="A333" t="n">
        <x:v>332</x:v>
      </x:c>
      <x:c r="B333" s="2" t="n">
        <x:v>46098.69444444445</x:v>
      </x:c>
      <x:c r="C333" t="inlineStr">
        <x:is>
          <x:t xml:space="preserve">Lisbon</x:t>
        </x:is>
      </x:c>
      <x:c r="D333" s="3" t="n">
        <x:v>17.5</x:v>
      </x:c>
      <x:c r="E333" s="3" t="n">
        <x:v>18.3</x:v>
      </x:c>
      <x:c r="F333" s="4" t="n">
        <x:v>77</x:v>
      </x:c>
      <x:c r="G333" s="4" t="n">
        <x:v>1023</x:v>
      </x:c>
      <x:c r="H333" t="inlineStr">
        <x:is>
          <x:t xml:space="preserve">clear sky</x:t>
        </x:is>
      </x:c>
      <x:c r="I333" s="3" t="n">
        <x:v>20</x:v>
      </x:c>
    </x:row>
    <x:row r="334">
      <x:c r="A334" t="n">
        <x:v>333</x:v>
      </x:c>
      <x:c r="B334" s="2" t="n">
        <x:v>46099.77083333334</x:v>
      </x:c>
      <x:c r="C334" t="inlineStr">
        <x:is>
          <x:t xml:space="preserve">Lisbon</x:t>
        </x:is>
      </x:c>
      <x:c r="D334" s="3" t="n">
        <x:v>18.4</x:v>
      </x:c>
      <x:c r="E334" s="3" t="n">
        <x:v>18.9</x:v>
      </x:c>
      <x:c r="F334" s="4" t="n">
        <x:v>79</x:v>
      </x:c>
      <x:c r="G334" s="4" t="n">
        <x:v>1020</x:v>
      </x:c>
      <x:c r="H334" t="inlineStr">
        <x:is>
          <x:t xml:space="preserve">broken clouds</x:t>
        </x:is>
      </x:c>
      <x:c r="I334" s="3" t="n">
        <x:v>18.2</x:v>
      </x:c>
    </x:row>
    <x:row r="335">
      <x:c r="A335" t="n">
        <x:v>334</x:v>
      </x:c>
      <x:c r="B335" s="2" t="n">
        <x:v>46100.67361111111</x:v>
      </x:c>
      <x:c r="C335" t="inlineStr">
        <x:is>
          <x:t xml:space="preserve">Lisbon</x:t>
        </x:is>
      </x:c>
      <x:c r="D335" s="3" t="n">
        <x:v>16.9</x:v>
      </x:c>
      <x:c r="E335" s="3" t="n">
        <x:v>18.1</x:v>
      </x:c>
      <x:c r="F335" s="4" t="n">
        <x:v>77</x:v>
      </x:c>
      <x:c r="G335" s="4" t="n">
        <x:v>1021</x:v>
      </x:c>
      <x:c r="H335" t="inlineStr">
        <x:is>
          <x:t xml:space="preserve">clear sky</x:t>
        </x:is>
      </x:c>
      <x:c r="I335" s="3" t="n">
        <x:v>18.9</x:v>
      </x:c>
    </x:row>
    <x:row r="336">
      <x:c r="A336" t="n">
        <x:v>335</x:v>
      </x:c>
      <x:c r="B336" s="2" t="n">
        <x:v>46101.56944444445</x:v>
      </x:c>
      <x:c r="C336" t="inlineStr">
        <x:is>
          <x:t xml:space="preserve">Lisbon</x:t>
        </x:is>
      </x:c>
      <x:c r="D336" s="3" t="n">
        <x:v>15.1</x:v>
      </x:c>
      <x:c r="E336" s="3" t="n">
        <x:v>15.7</x:v>
      </x:c>
      <x:c r="F336" s="4" t="n">
        <x:v>89</x:v>
      </x:c>
      <x:c r="G336" s="4" t="n">
        <x:v>1025</x:v>
      </x:c>
      <x:c r="H336" t="inlineStr">
        <x:is>
          <x:t xml:space="preserve">overcast clouds</x:t>
        </x:is>
      </x:c>
      <x:c r="I336" s="3" t="n">
        <x:v>21.4</x:v>
      </x:c>
    </x:row>
    <x:row r="337">
      <x:c r="A337" t="n">
        <x:v>336</x:v>
      </x:c>
      <x:c r="B337" s="2" t="n">
        <x:v>46102.75694444445</x:v>
      </x:c>
      <x:c r="C337" t="inlineStr">
        <x:is>
          <x:t xml:space="preserve">Lisbon</x:t>
        </x:is>
      </x:c>
      <x:c r="D337" s="3" t="n">
        <x:v>16.2</x:v>
      </x:c>
      <x:c r="E337" s="3" t="n">
        <x:v>16.8</x:v>
      </x:c>
      <x:c r="F337" s="4" t="n">
        <x:v>72</x:v>
      </x:c>
      <x:c r="G337" s="4" t="n">
        <x:v>1014</x:v>
      </x:c>
      <x:c r="H337" t="inlineStr">
        <x:is>
          <x:t xml:space="preserve">clear sky</x:t>
        </x:is>
      </x:c>
      <x:c r="I337" s="3" t="n">
        <x:v>19.2</x:v>
      </x:c>
    </x:row>
    <x:row r="338">
      <x:c r="A338" t="n">
        <x:v>337</x:v>
      </x:c>
      <x:c r="B338" s="2" t="n">
        <x:v>46103.79166666666</x:v>
      </x:c>
      <x:c r="C338" t="inlineStr">
        <x:is>
          <x:t xml:space="preserve">Lisbon</x:t>
        </x:is>
      </x:c>
      <x:c r="D338" s="3" t="n">
        <x:v>14.9</x:v>
      </x:c>
      <x:c r="E338" s="3" t="n">
        <x:v>15.4</x:v>
      </x:c>
      <x:c r="F338" s="4" t="n">
        <x:v>82</x:v>
      </x:c>
      <x:c r="G338" s="4" t="n">
        <x:v>1020</x:v>
      </x:c>
      <x:c r="H338" t="inlineStr">
        <x:is>
          <x:t xml:space="preserve">drizzle</x:t>
        </x:is>
      </x:c>
      <x:c r="I338" s="3" t="n">
        <x:v>19.4</x:v>
      </x:c>
    </x:row>
    <x:row r="339">
      <x:c r="A339" t="n">
        <x:v>338</x:v>
      </x:c>
      <x:c r="B339" s="2" t="n">
        <x:v>46104.70138888889</x:v>
      </x:c>
      <x:c r="C339" t="inlineStr">
        <x:is>
          <x:t xml:space="preserve">Lisbon</x:t>
        </x:is>
      </x:c>
      <x:c r="D339" s="3" t="n">
        <x:v>15.1</x:v>
      </x:c>
      <x:c r="E339" s="3" t="n">
        <x:v>14.4</x:v>
      </x:c>
      <x:c r="F339" s="4" t="n">
        <x:v>92</x:v>
      </x:c>
      <x:c r="G339" s="4" t="n">
        <x:v>1028</x:v>
      </x:c>
      <x:c r="H339" t="inlineStr">
        <x:is>
          <x:t xml:space="preserve">clear sky</x:t>
        </x:is>
      </x:c>
      <x:c r="I339" s="3" t="n">
        <x:v>24.8</x:v>
      </x:c>
    </x:row>
    <x:row r="340">
      <x:c r="A340" t="n">
        <x:v>339</x:v>
      </x:c>
      <x:c r="B340" s="2" t="n">
        <x:v>46105.90972222222</x:v>
      </x:c>
      <x:c r="C340" t="inlineStr">
        <x:is>
          <x:t xml:space="preserve">Lisbon</x:t>
        </x:is>
      </x:c>
      <x:c r="D340" s="3" t="n">
        <x:v>14.6</x:v>
      </x:c>
      <x:c r="E340" s="3" t="n">
        <x:v>14.6</x:v>
      </x:c>
      <x:c r="F340" s="4" t="n">
        <x:v>90</x:v>
      </x:c>
      <x:c r="G340" s="4" t="n">
        <x:v>1018</x:v>
      </x:c>
      <x:c r="H340" t="inlineStr">
        <x:is>
          <x:t xml:space="preserve">drizzle</x:t>
        </x:is>
      </x:c>
      <x:c r="I340" s="3" t="n">
        <x:v>25.1</x:v>
      </x:c>
    </x:row>
    <x:row r="341">
      <x:c r="A341" t="n">
        <x:v>340</x:v>
      </x:c>
      <x:c r="B341" s="2" t="n">
        <x:v>46106.77083333334</x:v>
      </x:c>
      <x:c r="C341" t="inlineStr">
        <x:is>
          <x:t xml:space="preserve">Lisbon</x:t>
        </x:is>
      </x:c>
      <x:c r="D341" s="3" t="n">
        <x:v>22.1</x:v>
      </x:c>
      <x:c r="E341" s="3" t="n">
        <x:v>22.5</x:v>
      </x:c>
      <x:c r="F341" s="4" t="n">
        <x:v>69</x:v>
      </x:c>
      <x:c r="G341" s="4" t="n">
        <x:v>1022</x:v>
      </x:c>
      <x:c r="H341" t="inlineStr">
        <x:is>
          <x:t xml:space="preserve">clear sky</x:t>
        </x:is>
      </x:c>
      <x:c r="I341" s="3" t="n">
        <x:v>18.2</x:v>
      </x:c>
    </x:row>
    <x:row r="342">
      <x:c r="A342" t="n">
        <x:v>341</x:v>
      </x:c>
      <x:c r="B342" s="2" t="n">
        <x:v>46108.4375</x:v>
      </x:c>
      <x:c r="C342" t="inlineStr">
        <x:is>
          <x:t xml:space="preserve">Lisbon</x:t>
        </x:is>
      </x:c>
      <x:c r="D342" s="3" t="n">
        <x:v>11.8</x:v>
      </x:c>
      <x:c r="E342" s="3" t="n">
        <x:v>10.8</x:v>
      </x:c>
      <x:c r="F342" s="4" t="n">
        <x:v>69</x:v>
      </x:c>
      <x:c r="G342" s="4" t="n">
        <x:v>1017</x:v>
      </x:c>
      <x:c r="H342" t="inlineStr">
        <x:is>
          <x:t xml:space="preserve">moderate rain</x:t>
        </x:is>
      </x:c>
      <x:c r="I342" s="3" t="n">
        <x:v>19.2</x:v>
      </x:c>
    </x:row>
    <x:row r="343">
      <x:c r="A343" t="n">
        <x:v>342</x:v>
      </x:c>
      <x:c r="B343" s="2" t="n">
        <x:v>46109.29861111111</x:v>
      </x:c>
      <x:c r="C343" t="inlineStr">
        <x:is>
          <x:t xml:space="preserve">Lisbon</x:t>
        </x:is>
      </x:c>
      <x:c r="D343" s="3" t="n">
        <x:v>10.4</x:v>
      </x:c>
      <x:c r="E343" s="3" t="n">
        <x:v>9.1</x:v>
      </x:c>
      <x:c r="F343" s="4" t="n">
        <x:v>83</x:v>
      </x:c>
      <x:c r="G343" s="4" t="n">
        <x:v>1009</x:v>
      </x:c>
      <x:c r="H343" t="inlineStr">
        <x:is>
          <x:t xml:space="preserve">moderate rain</x:t>
        </x:is>
      </x:c>
      <x:c r="I343" s="3" t="n">
        <x:v>22.7</x:v>
      </x:c>
    </x:row>
    <x:row r="344">
      <x:c r="A344" t="n">
        <x:v>343</x:v>
      </x:c>
      <x:c r="B344" s="2" t="n">
        <x:v>46110.66666666666</x:v>
      </x:c>
      <x:c r="C344" t="inlineStr">
        <x:is>
          <x:t xml:space="preserve">Lisbon</x:t>
        </x:is>
      </x:c>
      <x:c r="D344" s="3" t="n">
        <x:v>17.4</x:v>
      </x:c>
      <x:c r="E344" s="3" t="n">
        <x:v>18.2</x:v>
      </x:c>
      <x:c r="F344" s="4" t="n">
        <x:v>92</x:v>
      </x:c>
      <x:c r="G344" s="4" t="n">
        <x:v>1015</x:v>
      </x:c>
      <x:c r="H344" t="inlineStr">
        <x:is>
          <x:t xml:space="preserve">scattered clouds</x:t>
        </x:is>
      </x:c>
      <x:c r="I344" s="3" t="n">
        <x:v>16.2</x:v>
      </x:c>
    </x:row>
    <x:row r="345">
      <x:c r="A345" t="n">
        <x:v>344</x:v>
      </x:c>
      <x:c r="B345" s="2" t="n">
        <x:v>46111.83333333334</x:v>
      </x:c>
      <x:c r="C345" t="inlineStr">
        <x:is>
          <x:t xml:space="preserve">Lisbon</x:t>
        </x:is>
      </x:c>
      <x:c r="D345" s="3" t="n">
        <x:v>17.6</x:v>
      </x:c>
      <x:c r="E345" s="3" t="n">
        <x:v>17.4</x:v>
      </x:c>
      <x:c r="F345" s="4" t="n">
        <x:v>72</x:v>
      </x:c>
      <x:c r="G345" s="4" t="n">
        <x:v>1017</x:v>
      </x:c>
      <x:c r="H345" t="inlineStr">
        <x:is>
          <x:t xml:space="preserve">clear sky</x:t>
        </x:is>
      </x:c>
      <x:c r="I345" s="3" t="n">
        <x:v>22.4</x:v>
      </x:c>
    </x:row>
    <x:row r="346">
      <x:c r="A346" t="n">
        <x:v>345</x:v>
      </x:c>
      <x:c r="B346" s="2" t="n">
        <x:v>46112.83333333334</x:v>
      </x:c>
      <x:c r="C346" t="inlineStr">
        <x:is>
          <x:t xml:space="preserve">Lisbon</x:t>
        </x:is>
      </x:c>
      <x:c r="D346" s="3" t="n">
        <x:v>15.7</x:v>
      </x:c>
      <x:c r="E346" s="3" t="n">
        <x:v>16.2</x:v>
      </x:c>
      <x:c r="F346" s="4" t="n">
        <x:v>77</x:v>
      </x:c>
      <x:c r="G346" s="4" t="n">
        <x:v>1018</x:v>
      </x:c>
      <x:c r="H346" t="inlineStr">
        <x:is>
          <x:t xml:space="preserve">clear sky</x:t>
        </x:is>
      </x:c>
      <x:c r="I346" s="3" t="n">
        <x:v>22.3</x:v>
      </x:c>
    </x:row>
    <x:row r="347">
      <x:c r="A347" t="n">
        <x:v>346</x:v>
      </x:c>
      <x:c r="B347" s="2" t="n">
        <x:v>46113.4375</x:v>
      </x:c>
      <x:c r="C347" t="inlineStr">
        <x:is>
          <x:t xml:space="preserve">Lisbon</x:t>
        </x:is>
      </x:c>
      <x:c r="D347" s="3" t="n">
        <x:v>15.3</x:v>
      </x:c>
      <x:c r="E347" s="3" t="n">
        <x:v>14.5</x:v>
      </x:c>
      <x:c r="F347" s="4" t="n">
        <x:v>96</x:v>
      </x:c>
      <x:c r="G347" s="4" t="n">
        <x:v>1011</x:v>
      </x:c>
      <x:c r="H347" t="inlineStr">
        <x:is>
          <x:t xml:space="preserve">few clouds</x:t>
        </x:is>
      </x:c>
      <x:c r="I347" s="3" t="n">
        <x:v>17</x:v>
      </x:c>
    </x:row>
    <x:row r="348">
      <x:c r="A348" t="n">
        <x:v>347</x:v>
      </x:c>
      <x:c r="B348" s="2" t="n">
        <x:v>46114.41666666666</x:v>
      </x:c>
      <x:c r="C348" t="inlineStr">
        <x:is>
          <x:t xml:space="preserve">Lisbon</x:t>
        </x:is>
      </x:c>
      <x:c r="D348" s="3" t="n">
        <x:v>15.3</x:v>
      </x:c>
      <x:c r="E348" s="3" t="n">
        <x:v>14.8</x:v>
      </x:c>
      <x:c r="F348" s="4" t="n">
        <x:v>87</x:v>
      </x:c>
      <x:c r="G348" s="4" t="n">
        <x:v>1020</x:v>
      </x:c>
      <x:c r="H348" t="inlineStr">
        <x:is>
          <x:t xml:space="preserve">clear sky</x:t>
        </x:is>
      </x:c>
      <x:c r="I348" s="3" t="n">
        <x:v>25.1</x:v>
      </x:c>
    </x:row>
    <x:row r="349">
      <x:c r="A349" t="n">
        <x:v>348</x:v>
      </x:c>
      <x:c r="B349" s="2" t="n">
        <x:v>46115.88888888889</x:v>
      </x:c>
      <x:c r="C349" t="inlineStr">
        <x:is>
          <x:t xml:space="preserve">Lisbon</x:t>
        </x:is>
      </x:c>
      <x:c r="D349" s="3" t="n">
        <x:v>20.6</x:v>
      </x:c>
      <x:c r="E349" s="3" t="n">
        <x:v>20.2</x:v>
      </x:c>
      <x:c r="F349" s="4" t="n">
        <x:v>82</x:v>
      </x:c>
      <x:c r="G349" s="4" t="n">
        <x:v>1017</x:v>
      </x:c>
      <x:c r="H349" t="inlineStr">
        <x:is>
          <x:t xml:space="preserve">scattered clouds</x:t>
        </x:is>
      </x:c>
      <x:c r="I349" s="3" t="n">
        <x:v>16</x:v>
      </x:c>
    </x:row>
    <x:row r="350">
      <x:c r="A350" t="n">
        <x:v>349</x:v>
      </x:c>
      <x:c r="B350" s="2" t="n">
        <x:v>46116.69444444445</x:v>
      </x:c>
      <x:c r="C350" t="inlineStr">
        <x:is>
          <x:t xml:space="preserve">Lisbon</x:t>
        </x:is>
      </x:c>
      <x:c r="D350" s="3" t="n">
        <x:v>14.4</x:v>
      </x:c>
      <x:c r="E350" s="3" t="n">
        <x:v>15.3</x:v>
      </x:c>
      <x:c r="F350" s="4" t="n">
        <x:v>83</x:v>
      </x:c>
      <x:c r="G350" s="4" t="n">
        <x:v>1014</x:v>
      </x:c>
      <x:c r="H350" t="inlineStr">
        <x:is>
          <x:t xml:space="preserve">light rain</x:t>
        </x:is>
      </x:c>
      <x:c r="I350" s="3" t="n">
        <x:v>17.7</x:v>
      </x:c>
    </x:row>
    <x:row r="351">
      <x:c r="A351" t="n">
        <x:v>350</x:v>
      </x:c>
      <x:c r="B351" s="2" t="n">
        <x:v>46117.78472222222</x:v>
      </x:c>
      <x:c r="C351" t="inlineStr">
        <x:is>
          <x:t xml:space="preserve">Lisbon</x:t>
        </x:is>
      </x:c>
      <x:c r="D351" s="3" t="n">
        <x:v>18.1</x:v>
      </x:c>
      <x:c r="E351" s="3" t="n">
        <x:v>19.1</x:v>
      </x:c>
      <x:c r="F351" s="4" t="n">
        <x:v>79</x:v>
      </x:c>
      <x:c r="G351" s="4" t="n">
        <x:v>1018</x:v>
      </x:c>
      <x:c r="H351" t="inlineStr">
        <x:is>
          <x:t xml:space="preserve">clear sky</x:t>
        </x:is>
      </x:c>
      <x:c r="I351" s="3" t="n">
        <x:v>16.8</x:v>
      </x:c>
    </x:row>
  </x:sheetData>
  <x:conditionalFormatting sqref="D2:D351">
    <x:cfRule type="colorScale" priority="1">
      <x:colorScale>
        <x:cfvo type="num" val="8"/>
        <x:cfvo type="num" val="18"/>
        <x:cfvo type="num" val="32"/>
        <x:color rgb="005B9BD5"/>
        <x:color rgb="00FFF2CC"/>
        <x:color rgb="00ED7D31"/>
      </x:colorScale>
    </x:cfRule>
  </x:conditionalFormatting>
  <x:conditionalFormatting sqref="F2:F351">
    <x:cfRule type="colorScale" priority="2">
      <x:colorScale>
        <x:cfvo type="num" val="40"/>
        <x:cfvo type="num" val="70"/>
        <x:cfvo type="num" val="95"/>
        <x:color rgb="00E2F0D9"/>
        <x:color rgb="00FFF2CC"/>
        <x:color rgb="00F4CCCC"/>
      </x:colorScale>
    </x:cfRule>
  </x:conditionalFormatting>
  <x:conditionalFormatting sqref="I2:I351">
    <x:cfRule type="colorScale" priority="3">
      <x:colorScale>
        <x:cfvo type="num" val="5"/>
        <x:cfvo type="num" val="18"/>
        <x:cfvo type="num" val="40"/>
        <x:color rgb="00E2F0D9"/>
        <x:color rgb="00D9EAF7"/>
        <x:color rgb="009FC5E8"/>
      </x:colorScale>
    </x:cfRule>
  </x:conditionalFormatting>
  <x:pageMargins left="0.7" right="0.7" top="0.75" bottom="0.75" header="0.3" footer="0.3"/>
  <x:legacyDrawing xmlns:r="http://schemas.openxmlformats.org/officeDocument/2006/relationships" r:id="R7803c6bb588647d9"/>
  <x:tableParts count="1">
    <x:tablePart xmlns:r="http://schemas.openxmlformats.org/officeDocument/2006/relationships" r:id="R836c48a1c2ce490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40" customWidth="1"/>
    <x:col min="3" max="3" width="14" customWidth="1"/>
    <x:col min="4" max="4" width="14" customWidth="1"/>
  </x:cols>
  <x:sheetData>
    <x:row r="1">
      <x:c r="A1" s="5" t="inlineStr">
        <x:is>
          <x:t xml:space="preserve">Lisbon weather dataset (synthetic)</x:t>
        </x:is>
      </x:c>
    </x:row>
    <x:row r="3">
      <x:c r="A3" s="6" t="inlineStr">
        <x:is>
          <x:t xml:space="preserve">Miasto</x:t>
        </x:is>
      </x:c>
      <x:c r="B3" t="inlineStr">
        <x:is>
          <x:t xml:space="preserve">Lisbon</x:t>
        </x:is>
      </x:c>
    </x:row>
    <x:row r="4">
      <x:c r="A4" s="6" t="inlineStr">
        <x:is>
          <x:t xml:space="preserve">Liczba rekordów</x:t>
        </x:is>
      </x:c>
      <x:c r="B4" t="n">
        <x:v>350</x:v>
      </x:c>
    </x:row>
    <x:row r="5">
      <x:c r="A5" s="6" t="inlineStr">
        <x:is>
          <x:t xml:space="preserve">Zakres dat</x:t>
        </x:is>
      </x:c>
      <x:c r="B5" s="7" t="n">
        <x:v>45754</x:v>
      </x:c>
      <x:c r="C5" s="7" t="n">
        <x:v>46117</x:v>
      </x:c>
    </x:row>
    <x:row r="6">
      <x:c r="A6" s="6" t="inlineStr">
        <x:is>
          <x:t xml:space="preserve">Typ danych</x:t>
        </x:is>
      </x:c>
      <x:c r="B6" t="inlineStr">
        <x:is>
          <x:t xml:space="preserve">synthetic / generated</x:t>
        </x:is>
      </x:c>
    </x:row>
    <x:row r="7">
      <x:c r="A7" s="6" t="inlineStr">
        <x:is>
          <x:t xml:space="preserve">Kolumny</x:t>
        </x:is>
      </x:c>
      <x:c r="B7" t="inlineStr">
        <x:is>
          <x:t xml:space="preserve">record_id, timestamp, name, temp_c, feels_like_c, humidity_pct, pressure_hpa, description, wind_speed_kmh</x:t>
        </x:is>
      </x:c>
    </x:row>
    <x:row r="9">
      <x:c r="A9" s="6" t="inlineStr">
        <x:is>
          <x:t xml:space="preserve">Użycie</x:t>
        </x:is>
      </x:c>
      <x:c r="B9" t="inlineStr">
        <x:is>
          <x:t xml:space="preserve">Gotowe pod wykresy: trend temperatury, sezonowość, rozkład wilgotności, korelacja wiatr–odczuwalna temperatura.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9" customWidth="1"/>
    <x:col min="2" max="2" width="14" customWidth="1"/>
    <x:col min="3" max="3" width="12" customWidth="1"/>
    <x:col min="4" max="4" width="10" customWidth="1"/>
    <x:col min="5" max="5" width="14" customWidth="1"/>
    <x:col min="6" max="6" width="10" customWidth="1"/>
    <x:col min="7" max="7" width="12" customWidth="1"/>
    <x:col min="8" max="8" width="10" customWidth="1"/>
    <x:col min="9" max="9" width="10" customWidth="1"/>
    <x:col min="10" max="10" width="10" customWidth="1"/>
  </x:cols>
  <x:sheetData>
    <x:row r="1">
      <x:c r="A1" s="1" t="inlineStr">
        <x:is>
          <x:t xml:space="preserve">timestamp</x:t>
        </x:is>
      </x:c>
      <x:c r="B1" s="1" t="inlineStr">
        <x:is>
          <x:t xml:space="preserve">date_only</x:t>
        </x:is>
      </x:c>
      <x:c r="C1" s="1" t="inlineStr">
        <x:is>
          <x:t xml:space="preserve">year_month</x:t>
        </x:is>
      </x:c>
      <x:c r="D1" s="1" t="inlineStr">
        <x:is>
          <x:t xml:space="preserve">month_num</x:t>
        </x:is>
      </x:c>
      <x:c r="E1" s="1" t="inlineStr">
        <x:is>
          <x:t xml:space="preserve">month_name</x:t>
        </x:is>
      </x:c>
      <x:c r="F1" s="1" t="inlineStr">
        <x:is>
          <x:t xml:space="preserve">quarter</x:t>
        </x:is>
      </x:c>
      <x:c r="G1" s="1" t="inlineStr">
        <x:is>
          <x:t xml:space="preserve">season</x:t>
        </x:is>
      </x:c>
      <x:c r="H1" s="1" t="inlineStr">
        <x:is>
          <x:t xml:space="preserve">temp_delta</x:t>
        </x:is>
      </x:c>
      <x:c r="I1" s="1" t="inlineStr">
        <x:is>
          <x:t xml:space="preserve">rainy_flag</x:t>
        </x:is>
      </x:c>
      <x:c r="J1" s="1" t="inlineStr">
        <x:is>
          <x:t xml:space="preserve">windy_flag</x:t>
        </x:is>
      </x:c>
    </x:row>
    <x:row r="2">
      <x:c r="A2" s="8">
        <x:f>weather_data!B2</x:f>
        <x:v>45754.59027777778</x:v>
      </x:c>
      <x:c r="B2" s="9">
        <x:f>INT(A2)</x:f>
        <x:v>45754</x:v>
      </x:c>
      <x:c r="C2" s="10" t="str">
        <x:f>TEXT(B2,"yyyy-mm")</x:f>
        <x:v>2025-04</x:v>
      </x:c>
      <x:c r="D2" s="10">
        <x:f>MONTH(B2)</x:f>
        <x:v>4</x:v>
      </x:c>
      <x:c r="E2" s="10" t="str">
        <x:f>TEXT(B2,"mmmm")</x:f>
        <x:v>April</x:v>
      </x:c>
      <x:c r="F2" s="10" t="str">
        <x:f>"Q"&amp;ROUNDUP(D2/3,0)</x:f>
        <x:v>Q2</x:v>
      </x:c>
      <x:c r="G2" s="10" t="str">
        <x:f>IF(OR(D2=12,D2&lt;=2),"Winter",IF(D2&lt;=5,"Spring",IF(D2&lt;=8,"Summer","Autumn")))</x:f>
        <x:v>Spring</x:v>
      </x:c>
      <x:c r="H2" s="11">
        <x:f>weather_data!E2-weather_data!D2</x:f>
        <x:v>-1</x:v>
      </x:c>
      <x:c r="I2" s="10">
        <x:f>IF(OR(weather_data!H2="light rain",weather_data!H2="moderate rain",weather_data!H2="drizzle",weather_data!H2="thunderstorm"),1,0)</x:f>
        <x:v>0</x:v>
      </x:c>
      <x:c r="J2" s="10">
        <x:f>IF(weather_data!I2&gt;=25,1,0)</x:f>
        <x:v>0</x:v>
      </x:c>
    </x:row>
    <x:row r="3">
      <x:c r="A3" s="8">
        <x:f>weather_data!B3</x:f>
        <x:v>45755.70833333334</x:v>
      </x:c>
      <x:c r="B3" s="9">
        <x:f>INT(A3)</x:f>
        <x:v>45755</x:v>
      </x:c>
      <x:c r="C3" s="10" t="str">
        <x:f>TEXT(B3,"yyyy-mm")</x:f>
        <x:v>2025-04</x:v>
      </x:c>
      <x:c r="D3" s="10">
        <x:f>MONTH(B3)</x:f>
        <x:v>4</x:v>
      </x:c>
      <x:c r="E3" s="10" t="str">
        <x:f>TEXT(B3,"mmmm")</x:f>
        <x:v>April</x:v>
      </x:c>
      <x:c r="F3" s="10" t="str">
        <x:f>"Q"&amp;ROUNDUP(D3/3,0)</x:f>
        <x:v>Q2</x:v>
      </x:c>
      <x:c r="G3" s="10" t="str">
        <x:f>IF(OR(D3=12,D3&lt;=2),"Winter",IF(D3&lt;=5,"Spring",IF(D3&lt;=8,"Summer","Autumn")))</x:f>
        <x:v>Spring</x:v>
      </x:c>
      <x:c r="H3" s="11">
        <x:f>weather_data!E3-weather_data!D3</x:f>
        <x:v>0.1999999999999993</x:v>
      </x:c>
      <x:c r="I3" s="10">
        <x:f>IF(OR(weather_data!H3="light rain",weather_data!H3="moderate rain",weather_data!H3="drizzle",weather_data!H3="thunderstorm"),1,0)</x:f>
        <x:v>1</x:v>
      </x:c>
      <x:c r="J3" s="10">
        <x:f>IF(weather_data!I3&gt;=25,1,0)</x:f>
        <x:v>1</x:v>
      </x:c>
    </x:row>
    <x:row r="4">
      <x:c r="A4" s="8">
        <x:f>weather_data!B4</x:f>
        <x:v>45756.55555555555</x:v>
      </x:c>
      <x:c r="B4" s="9">
        <x:f>INT(A4)</x:f>
        <x:v>45756</x:v>
      </x:c>
      <x:c r="C4" s="10" t="str">
        <x:f>TEXT(B4,"yyyy-mm")</x:f>
        <x:v>2025-04</x:v>
      </x:c>
      <x:c r="D4" s="10">
        <x:f>MONTH(B4)</x:f>
        <x:v>4</x:v>
      </x:c>
      <x:c r="E4" s="10" t="str">
        <x:f>TEXT(B4,"mmmm")</x:f>
        <x:v>April</x:v>
      </x:c>
      <x:c r="F4" s="10" t="str">
        <x:f>"Q"&amp;ROUNDUP(D4/3,0)</x:f>
        <x:v>Q2</x:v>
      </x:c>
      <x:c r="G4" s="10" t="str">
        <x:f>IF(OR(D4=12,D4&lt;=2),"Winter",IF(D4&lt;=5,"Spring",IF(D4&lt;=8,"Summer","Autumn")))</x:f>
        <x:v>Spring</x:v>
      </x:c>
      <x:c r="H4" s="11">
        <x:f>weather_data!E4-weather_data!D4</x:f>
        <x:v>-0.9000000000000004</x:v>
      </x:c>
      <x:c r="I4" s="10">
        <x:f>IF(OR(weather_data!H4="light rain",weather_data!H4="moderate rain",weather_data!H4="drizzle",weather_data!H4="thunderstorm"),1,0)</x:f>
        <x:v>0</x:v>
      </x:c>
      <x:c r="J4" s="10">
        <x:f>IF(weather_data!I4&gt;=25,1,0)</x:f>
        <x:v>0</x:v>
      </x:c>
    </x:row>
    <x:row r="5">
      <x:c r="A5" s="8">
        <x:f>weather_data!B5</x:f>
        <x:v>45757.63194444445</x:v>
      </x:c>
      <x:c r="B5" s="9">
        <x:f>INT(A5)</x:f>
        <x:v>45757</x:v>
      </x:c>
      <x:c r="C5" s="10" t="str">
        <x:f>TEXT(B5,"yyyy-mm")</x:f>
        <x:v>2025-04</x:v>
      </x:c>
      <x:c r="D5" s="10">
        <x:f>MONTH(B5)</x:f>
        <x:v>4</x:v>
      </x:c>
      <x:c r="E5" s="10" t="str">
        <x:f>TEXT(B5,"mmmm")</x:f>
        <x:v>April</x:v>
      </x:c>
      <x:c r="F5" s="10" t="str">
        <x:f>"Q"&amp;ROUNDUP(D5/3,0)</x:f>
        <x:v>Q2</x:v>
      </x:c>
      <x:c r="G5" s="10" t="str">
        <x:f>IF(OR(D5=12,D5&lt;=2),"Winter",IF(D5&lt;=5,"Spring",IF(D5&lt;=8,"Summer","Autumn")))</x:f>
        <x:v>Spring</x:v>
      </x:c>
      <x:c r="H5" s="11">
        <x:f>weather_data!E5-weather_data!D5</x:f>
        <x:v>0.5999999999999979</x:v>
      </x:c>
      <x:c r="I5" s="10">
        <x:f>IF(OR(weather_data!H5="light rain",weather_data!H5="moderate rain",weather_data!H5="drizzle",weather_data!H5="thunderstorm"),1,0)</x:f>
        <x:v>0</x:v>
      </x:c>
      <x:c r="J5" s="10">
        <x:f>IF(weather_data!I5&gt;=25,1,0)</x:f>
        <x:v>0</x:v>
      </x:c>
    </x:row>
    <x:row r="6">
      <x:c r="A6" s="8">
        <x:f>weather_data!B6</x:f>
        <x:v>45758.86111111111</x:v>
      </x:c>
      <x:c r="B6" s="9">
        <x:f>INT(A6)</x:f>
        <x:v>45758</x:v>
      </x:c>
      <x:c r="C6" s="10" t="str">
        <x:f>TEXT(B6,"yyyy-mm")</x:f>
        <x:v>2025-04</x:v>
      </x:c>
      <x:c r="D6" s="10">
        <x:f>MONTH(B6)</x:f>
        <x:v>4</x:v>
      </x:c>
      <x:c r="E6" s="10" t="str">
        <x:f>TEXT(B6,"mmmm")</x:f>
        <x:v>April</x:v>
      </x:c>
      <x:c r="F6" s="10" t="str">
        <x:f>"Q"&amp;ROUNDUP(D6/3,0)</x:f>
        <x:v>Q2</x:v>
      </x:c>
      <x:c r="G6" s="10" t="str">
        <x:f>IF(OR(D6=12,D6&lt;=2),"Winter",IF(D6&lt;=5,"Spring",IF(D6&lt;=8,"Summer","Autumn")))</x:f>
        <x:v>Spring</x:v>
      </x:c>
      <x:c r="H6" s="11">
        <x:f>weather_data!E6-weather_data!D6</x:f>
        <x:v>0.1999999999999993</x:v>
      </x:c>
      <x:c r="I6" s="10">
        <x:f>IF(OR(weather_data!H6="light rain",weather_data!H6="moderate rain",weather_data!H6="drizzle",weather_data!H6="thunderstorm"),1,0)</x:f>
        <x:v>0</x:v>
      </x:c>
      <x:c r="J6" s="10">
        <x:f>IF(weather_data!I6&gt;=25,1,0)</x:f>
        <x:v>0</x:v>
      </x:c>
    </x:row>
    <x:row r="7">
      <x:c r="A7" s="8">
        <x:f>weather_data!B7</x:f>
        <x:v>45759.65277777778</x:v>
      </x:c>
      <x:c r="B7" s="9">
        <x:f>INT(A7)</x:f>
        <x:v>45759</x:v>
      </x:c>
      <x:c r="C7" s="10" t="str">
        <x:f>TEXT(B7,"yyyy-mm")</x:f>
        <x:v>2025-04</x:v>
      </x:c>
      <x:c r="D7" s="10">
        <x:f>MONTH(B7)</x:f>
        <x:v>4</x:v>
      </x:c>
      <x:c r="E7" s="10" t="str">
        <x:f>TEXT(B7,"mmmm")</x:f>
        <x:v>April</x:v>
      </x:c>
      <x:c r="F7" s="10" t="str">
        <x:f>"Q"&amp;ROUNDUP(D7/3,0)</x:f>
        <x:v>Q2</x:v>
      </x:c>
      <x:c r="G7" s="10" t="str">
        <x:f>IF(OR(D7=12,D7&lt;=2),"Winter",IF(D7&lt;=5,"Spring",IF(D7&lt;=8,"Summer","Autumn")))</x:f>
        <x:v>Spring</x:v>
      </x:c>
      <x:c r="H7" s="11">
        <x:f>weather_data!E7-weather_data!D7</x:f>
        <x:v>0.7999999999999972</x:v>
      </x:c>
      <x:c r="I7" s="10">
        <x:f>IF(OR(weather_data!H7="light rain",weather_data!H7="moderate rain",weather_data!H7="drizzle",weather_data!H7="thunderstorm"),1,0)</x:f>
        <x:v>1</x:v>
      </x:c>
      <x:c r="J7" s="10">
        <x:f>IF(weather_data!I7&gt;=25,1,0)</x:f>
        <x:v>0</x:v>
      </x:c>
    </x:row>
    <x:row r="8">
      <x:c r="A8" s="8">
        <x:f>weather_data!B8</x:f>
        <x:v>45760.28472222222</x:v>
      </x:c>
      <x:c r="B8" s="9">
        <x:f>INT(A8)</x:f>
        <x:v>45760</x:v>
      </x:c>
      <x:c r="C8" s="10" t="str">
        <x:f>TEXT(B8,"yyyy-mm")</x:f>
        <x:v>2025-04</x:v>
      </x:c>
      <x:c r="D8" s="10">
        <x:f>MONTH(B8)</x:f>
        <x:v>4</x:v>
      </x:c>
      <x:c r="E8" s="10" t="str">
        <x:f>TEXT(B8,"mmmm")</x:f>
        <x:v>April</x:v>
      </x:c>
      <x:c r="F8" s="10" t="str">
        <x:f>"Q"&amp;ROUNDUP(D8/3,0)</x:f>
        <x:v>Q2</x:v>
      </x:c>
      <x:c r="G8" s="10" t="str">
        <x:f>IF(OR(D8=12,D8&lt;=2),"Winter",IF(D8&lt;=5,"Spring",IF(D8&lt;=8,"Summer","Autumn")))</x:f>
        <x:v>Spring</x:v>
      </x:c>
      <x:c r="H8" s="11">
        <x:f>weather_data!E8-weather_data!D8</x:f>
        <x:v>0.09999999999999964</x:v>
      </x:c>
      <x:c r="I8" s="10">
        <x:f>IF(OR(weather_data!H8="light rain",weather_data!H8="moderate rain",weather_data!H8="drizzle",weather_data!H8="thunderstorm"),1,0)</x:f>
        <x:v>0</x:v>
      </x:c>
      <x:c r="J8" s="10">
        <x:f>IF(weather_data!I8&gt;=25,1,0)</x:f>
        <x:v>0</x:v>
      </x:c>
    </x:row>
    <x:row r="9">
      <x:c r="A9" s="8">
        <x:f>weather_data!B9</x:f>
        <x:v>45761.65972222222</x:v>
      </x:c>
      <x:c r="B9" s="9">
        <x:f>INT(A9)</x:f>
        <x:v>45761</x:v>
      </x:c>
      <x:c r="C9" s="10" t="str">
        <x:f>TEXT(B9,"yyyy-mm")</x:f>
        <x:v>2025-04</x:v>
      </x:c>
      <x:c r="D9" s="10">
        <x:f>MONTH(B9)</x:f>
        <x:v>4</x:v>
      </x:c>
      <x:c r="E9" s="10" t="str">
        <x:f>TEXT(B9,"mmmm")</x:f>
        <x:v>April</x:v>
      </x:c>
      <x:c r="F9" s="10" t="str">
        <x:f>"Q"&amp;ROUNDUP(D9/3,0)</x:f>
        <x:v>Q2</x:v>
      </x:c>
      <x:c r="G9" s="10" t="str">
        <x:f>IF(OR(D9=12,D9&lt;=2),"Winter",IF(D9&lt;=5,"Spring",IF(D9&lt;=8,"Summer","Autumn")))</x:f>
        <x:v>Spring</x:v>
      </x:c>
      <x:c r="H9" s="11">
        <x:f>weather_data!E9-weather_data!D9</x:f>
        <x:v>0.6999999999999993</x:v>
      </x:c>
      <x:c r="I9" s="10">
        <x:f>IF(OR(weather_data!H9="light rain",weather_data!H9="moderate rain",weather_data!H9="drizzle",weather_data!H9="thunderstorm"),1,0)</x:f>
        <x:v>0</x:v>
      </x:c>
      <x:c r="J9" s="10">
        <x:f>IF(weather_data!I9&gt;=25,1,0)</x:f>
        <x:v>1</x:v>
      </x:c>
    </x:row>
    <x:row r="10">
      <x:c r="A10" s="8">
        <x:f>weather_data!B10</x:f>
        <x:v>45762.38194444445</x:v>
      </x:c>
      <x:c r="B10" s="9">
        <x:f>INT(A10)</x:f>
        <x:v>45762</x:v>
      </x:c>
      <x:c r="C10" s="10" t="str">
        <x:f>TEXT(B10,"yyyy-mm")</x:f>
        <x:v>2025-04</x:v>
      </x:c>
      <x:c r="D10" s="10">
        <x:f>MONTH(B10)</x:f>
        <x:v>4</x:v>
      </x:c>
      <x:c r="E10" s="10" t="str">
        <x:f>TEXT(B10,"mmmm")</x:f>
        <x:v>April</x:v>
      </x:c>
      <x:c r="F10" s="10" t="str">
        <x:f>"Q"&amp;ROUNDUP(D10/3,0)</x:f>
        <x:v>Q2</x:v>
      </x:c>
      <x:c r="G10" s="10" t="str">
        <x:f>IF(OR(D10=12,D10&lt;=2),"Winter",IF(D10&lt;=5,"Spring",IF(D10&lt;=8,"Summer","Autumn")))</x:f>
        <x:v>Spring</x:v>
      </x:c>
      <x:c r="H10" s="11">
        <x:f>weather_data!E10-weather_data!D10</x:f>
        <x:v>0</x:v>
      </x:c>
      <x:c r="I10" s="10">
        <x:f>IF(OR(weather_data!H10="light rain",weather_data!H10="moderate rain",weather_data!H10="drizzle",weather_data!H10="thunderstorm"),1,0)</x:f>
        <x:v>1</x:v>
      </x:c>
      <x:c r="J10" s="10">
        <x:f>IF(weather_data!I10&gt;=25,1,0)</x:f>
        <x:v>1</x:v>
      </x:c>
    </x:row>
    <x:row r="11">
      <x:c r="A11" s="8">
        <x:f>weather_data!B11</x:f>
        <x:v>45763.58333333334</x:v>
      </x:c>
      <x:c r="B11" s="9">
        <x:f>INT(A11)</x:f>
        <x:v>45763</x:v>
      </x:c>
      <x:c r="C11" s="10" t="str">
        <x:f>TEXT(B11,"yyyy-mm")</x:f>
        <x:v>2025-04</x:v>
      </x:c>
      <x:c r="D11" s="10">
        <x:f>MONTH(B11)</x:f>
        <x:v>4</x:v>
      </x:c>
      <x:c r="E11" s="10" t="str">
        <x:f>TEXT(B11,"mmmm")</x:f>
        <x:v>April</x:v>
      </x:c>
      <x:c r="F11" s="10" t="str">
        <x:f>"Q"&amp;ROUNDUP(D11/3,0)</x:f>
        <x:v>Q2</x:v>
      </x:c>
      <x:c r="G11" s="10" t="str">
        <x:f>IF(OR(D11=12,D11&lt;=2),"Winter",IF(D11&lt;=5,"Spring",IF(D11&lt;=8,"Summer","Autumn")))</x:f>
        <x:v>Spring</x:v>
      </x:c>
      <x:c r="H11" s="11">
        <x:f>weather_data!E11-weather_data!D11</x:f>
        <x:v>-0.1999999999999993</x:v>
      </x:c>
      <x:c r="I11" s="10">
        <x:f>IF(OR(weather_data!H11="light rain",weather_data!H11="moderate rain",weather_data!H11="drizzle",weather_data!H11="thunderstorm"),1,0)</x:f>
        <x:v>0</x:v>
      </x:c>
      <x:c r="J11" s="10">
        <x:f>IF(weather_data!I11&gt;=25,1,0)</x:f>
        <x:v>0</x:v>
      </x:c>
    </x:row>
    <x:row r="12">
      <x:c r="A12" s="8">
        <x:f>weather_data!B12</x:f>
        <x:v>45764.40972222222</x:v>
      </x:c>
      <x:c r="B12" s="9">
        <x:f>INT(A12)</x:f>
        <x:v>45764</x:v>
      </x:c>
      <x:c r="C12" s="10" t="str">
        <x:f>TEXT(B12,"yyyy-mm")</x:f>
        <x:v>2025-04</x:v>
      </x:c>
      <x:c r="D12" s="10">
        <x:f>MONTH(B12)</x:f>
        <x:v>4</x:v>
      </x:c>
      <x:c r="E12" s="10" t="str">
        <x:f>TEXT(B12,"mmmm")</x:f>
        <x:v>April</x:v>
      </x:c>
      <x:c r="F12" s="10" t="str">
        <x:f>"Q"&amp;ROUNDUP(D12/3,0)</x:f>
        <x:v>Q2</x:v>
      </x:c>
      <x:c r="G12" s="10" t="str">
        <x:f>IF(OR(D12=12,D12&lt;=2),"Winter",IF(D12&lt;=5,"Spring",IF(D12&lt;=8,"Summer","Autumn")))</x:f>
        <x:v>Spring</x:v>
      </x:c>
      <x:c r="H12" s="11">
        <x:f>weather_data!E12-weather_data!D12</x:f>
        <x:v>-0.8000000000000007</x:v>
      </x:c>
      <x:c r="I12" s="10">
        <x:f>IF(OR(weather_data!H12="light rain",weather_data!H12="moderate rain",weather_data!H12="drizzle",weather_data!H12="thunderstorm"),1,0)</x:f>
        <x:v>0</x:v>
      </x:c>
      <x:c r="J12" s="10">
        <x:f>IF(weather_data!I12&gt;=25,1,0)</x:f>
        <x:v>0</x:v>
      </x:c>
    </x:row>
    <x:row r="13">
      <x:c r="A13" s="8">
        <x:f>weather_data!B13</x:f>
        <x:v>45765.43055555555</x:v>
      </x:c>
      <x:c r="B13" s="9">
        <x:f>INT(A13)</x:f>
        <x:v>45765</x:v>
      </x:c>
      <x:c r="C13" s="10" t="str">
        <x:f>TEXT(B13,"yyyy-mm")</x:f>
        <x:v>2025-04</x:v>
      </x:c>
      <x:c r="D13" s="10">
        <x:f>MONTH(B13)</x:f>
        <x:v>4</x:v>
      </x:c>
      <x:c r="E13" s="10" t="str">
        <x:f>TEXT(B13,"mmmm")</x:f>
        <x:v>April</x:v>
      </x:c>
      <x:c r="F13" s="10" t="str">
        <x:f>"Q"&amp;ROUNDUP(D13/3,0)</x:f>
        <x:v>Q2</x:v>
      </x:c>
      <x:c r="G13" s="10" t="str">
        <x:f>IF(OR(D13=12,D13&lt;=2),"Winter",IF(D13&lt;=5,"Spring",IF(D13&lt;=8,"Summer","Autumn")))</x:f>
        <x:v>Spring</x:v>
      </x:c>
      <x:c r="H13" s="11">
        <x:f>weather_data!E13-weather_data!D13</x:f>
        <x:v>0</x:v>
      </x:c>
      <x:c r="I13" s="10">
        <x:f>IF(OR(weather_data!H13="light rain",weather_data!H13="moderate rain",weather_data!H13="drizzle",weather_data!H13="thunderstorm"),1,0)</x:f>
        <x:v>0</x:v>
      </x:c>
      <x:c r="J13" s="10">
        <x:f>IF(weather_data!I13&gt;=25,1,0)</x:f>
        <x:v>0</x:v>
      </x:c>
    </x:row>
    <x:row r="14">
      <x:c r="A14" s="8">
        <x:f>weather_data!B14</x:f>
        <x:v>45766.65277777778</x:v>
      </x:c>
      <x:c r="B14" s="9">
        <x:f>INT(A14)</x:f>
        <x:v>45766</x:v>
      </x:c>
      <x:c r="C14" s="10" t="str">
        <x:f>TEXT(B14,"yyyy-mm")</x:f>
        <x:v>2025-04</x:v>
      </x:c>
      <x:c r="D14" s="10">
        <x:f>MONTH(B14)</x:f>
        <x:v>4</x:v>
      </x:c>
      <x:c r="E14" s="10" t="str">
        <x:f>TEXT(B14,"mmmm")</x:f>
        <x:v>April</x:v>
      </x:c>
      <x:c r="F14" s="10" t="str">
        <x:f>"Q"&amp;ROUNDUP(D14/3,0)</x:f>
        <x:v>Q2</x:v>
      </x:c>
      <x:c r="G14" s="10" t="str">
        <x:f>IF(OR(D14=12,D14&lt;=2),"Winter",IF(D14&lt;=5,"Spring",IF(D14&lt;=8,"Summer","Autumn")))</x:f>
        <x:v>Spring</x:v>
      </x:c>
      <x:c r="H14" s="11">
        <x:f>weather_data!E14-weather_data!D14</x:f>
        <x:v>-0.8000000000000007</x:v>
      </x:c>
      <x:c r="I14" s="10">
        <x:f>IF(OR(weather_data!H14="light rain",weather_data!H14="moderate rain",weather_data!H14="drizzle",weather_data!H14="thunderstorm"),1,0)</x:f>
        <x:v>1</x:v>
      </x:c>
      <x:c r="J14" s="10">
        <x:f>IF(weather_data!I14&gt;=25,1,0)</x:f>
        <x:v>0</x:v>
      </x:c>
    </x:row>
    <x:row r="15">
      <x:c r="A15" s="8">
        <x:f>weather_data!B15</x:f>
        <x:v>45767.53472222222</x:v>
      </x:c>
      <x:c r="B15" s="9">
        <x:f>INT(A15)</x:f>
        <x:v>45767</x:v>
      </x:c>
      <x:c r="C15" s="10" t="str">
        <x:f>TEXT(B15,"yyyy-mm")</x:f>
        <x:v>2025-04</x:v>
      </x:c>
      <x:c r="D15" s="10">
        <x:f>MONTH(B15)</x:f>
        <x:v>4</x:v>
      </x:c>
      <x:c r="E15" s="10" t="str">
        <x:f>TEXT(B15,"mmmm")</x:f>
        <x:v>April</x:v>
      </x:c>
      <x:c r="F15" s="10" t="str">
        <x:f>"Q"&amp;ROUNDUP(D15/3,0)</x:f>
        <x:v>Q2</x:v>
      </x:c>
      <x:c r="G15" s="10" t="str">
        <x:f>IF(OR(D15=12,D15&lt;=2),"Winter",IF(D15&lt;=5,"Spring",IF(D15&lt;=8,"Summer","Autumn")))</x:f>
        <x:v>Spring</x:v>
      </x:c>
      <x:c r="H15" s="11">
        <x:f>weather_data!E15-weather_data!D15</x:f>
        <x:v>0.3000000000000007</x:v>
      </x:c>
      <x:c r="I15" s="10">
        <x:f>IF(OR(weather_data!H15="light rain",weather_data!H15="moderate rain",weather_data!H15="drizzle",weather_data!H15="thunderstorm"),1,0)</x:f>
        <x:v>0</x:v>
      </x:c>
      <x:c r="J15" s="10">
        <x:f>IF(weather_data!I15&gt;=25,1,0)</x:f>
        <x:v>1</x:v>
      </x:c>
    </x:row>
    <x:row r="16">
      <x:c r="A16" s="8">
        <x:f>weather_data!B16</x:f>
        <x:v>45768.67361111111</x:v>
      </x:c>
      <x:c r="B16" s="9">
        <x:f>INT(A16)</x:f>
        <x:v>45768</x:v>
      </x:c>
      <x:c r="C16" s="10" t="str">
        <x:f>TEXT(B16,"yyyy-mm")</x:f>
        <x:v>2025-04</x:v>
      </x:c>
      <x:c r="D16" s="10">
        <x:f>MONTH(B16)</x:f>
        <x:v>4</x:v>
      </x:c>
      <x:c r="E16" s="10" t="str">
        <x:f>TEXT(B16,"mmmm")</x:f>
        <x:v>April</x:v>
      </x:c>
      <x:c r="F16" s="10" t="str">
        <x:f>"Q"&amp;ROUNDUP(D16/3,0)</x:f>
        <x:v>Q2</x:v>
      </x:c>
      <x:c r="G16" s="10" t="str">
        <x:f>IF(OR(D16=12,D16&lt;=2),"Winter",IF(D16&lt;=5,"Spring",IF(D16&lt;=8,"Summer","Autumn")))</x:f>
        <x:v>Spring</x:v>
      </x:c>
      <x:c r="H16" s="11">
        <x:f>weather_data!E16-weather_data!D16</x:f>
        <x:v>1</x:v>
      </x:c>
      <x:c r="I16" s="10">
        <x:f>IF(OR(weather_data!H16="light rain",weather_data!H16="moderate rain",weather_data!H16="drizzle",weather_data!H16="thunderstorm"),1,0)</x:f>
        <x:v>0</x:v>
      </x:c>
      <x:c r="J16" s="10">
        <x:f>IF(weather_data!I16&gt;=25,1,0)</x:f>
        <x:v>0</x:v>
      </x:c>
    </x:row>
    <x:row r="17">
      <x:c r="A17" s="8">
        <x:f>weather_data!B17</x:f>
        <x:v>45769.61111111111</x:v>
      </x:c>
      <x:c r="B17" s="9">
        <x:f>INT(A17)</x:f>
        <x:v>45769</x:v>
      </x:c>
      <x:c r="C17" s="10" t="str">
        <x:f>TEXT(B17,"yyyy-mm")</x:f>
        <x:v>2025-04</x:v>
      </x:c>
      <x:c r="D17" s="10">
        <x:f>MONTH(B17)</x:f>
        <x:v>4</x:v>
      </x:c>
      <x:c r="E17" s="10" t="str">
        <x:f>TEXT(B17,"mmmm")</x:f>
        <x:v>April</x:v>
      </x:c>
      <x:c r="F17" s="10" t="str">
        <x:f>"Q"&amp;ROUNDUP(D17/3,0)</x:f>
        <x:v>Q2</x:v>
      </x:c>
      <x:c r="G17" s="10" t="str">
        <x:f>IF(OR(D17=12,D17&lt;=2),"Winter",IF(D17&lt;=5,"Spring",IF(D17&lt;=8,"Summer","Autumn")))</x:f>
        <x:v>Spring</x:v>
      </x:c>
      <x:c r="H17" s="11">
        <x:f>weather_data!E17-weather_data!D17</x:f>
        <x:v>-1</x:v>
      </x:c>
      <x:c r="I17" s="10">
        <x:f>IF(OR(weather_data!H17="light rain",weather_data!H17="moderate rain",weather_data!H17="drizzle",weather_data!H17="thunderstorm"),1,0)</x:f>
        <x:v>1</x:v>
      </x:c>
      <x:c r="J17" s="10">
        <x:f>IF(weather_data!I17&gt;=25,1,0)</x:f>
        <x:v>0</x:v>
      </x:c>
    </x:row>
    <x:row r="18">
      <x:c r="A18" s="8">
        <x:f>weather_data!B18</x:f>
        <x:v>45770.88888888889</x:v>
      </x:c>
      <x:c r="B18" s="9">
        <x:f>INT(A18)</x:f>
        <x:v>45770</x:v>
      </x:c>
      <x:c r="C18" s="10" t="str">
        <x:f>TEXT(B18,"yyyy-mm")</x:f>
        <x:v>2025-04</x:v>
      </x:c>
      <x:c r="D18" s="10">
        <x:f>MONTH(B18)</x:f>
        <x:v>4</x:v>
      </x:c>
      <x:c r="E18" s="10" t="str">
        <x:f>TEXT(B18,"mmmm")</x:f>
        <x:v>April</x:v>
      </x:c>
      <x:c r="F18" s="10" t="str">
        <x:f>"Q"&amp;ROUNDUP(D18/3,0)</x:f>
        <x:v>Q2</x:v>
      </x:c>
      <x:c r="G18" s="10" t="str">
        <x:f>IF(OR(D18=12,D18&lt;=2),"Winter",IF(D18&lt;=5,"Spring",IF(D18&lt;=8,"Summer","Autumn")))</x:f>
        <x:v>Spring</x:v>
      </x:c>
      <x:c r="H18" s="11">
        <x:f>weather_data!E18-weather_data!D18</x:f>
        <x:v>-0.5999999999999979</x:v>
      </x:c>
      <x:c r="I18" s="10">
        <x:f>IF(OR(weather_data!H18="light rain",weather_data!H18="moderate rain",weather_data!H18="drizzle",weather_data!H18="thunderstorm"),1,0)</x:f>
        <x:v>1</x:v>
      </x:c>
      <x:c r="J18" s="10">
        <x:f>IF(weather_data!I18&gt;=25,1,0)</x:f>
        <x:v>0</x:v>
      </x:c>
    </x:row>
    <x:row r="19">
      <x:c r="A19" s="8">
        <x:f>weather_data!B19</x:f>
        <x:v>45771.29166666666</x:v>
      </x:c>
      <x:c r="B19" s="9">
        <x:f>INT(A19)</x:f>
        <x:v>45771</x:v>
      </x:c>
      <x:c r="C19" s="10" t="str">
        <x:f>TEXT(B19,"yyyy-mm")</x:f>
        <x:v>2025-04</x:v>
      </x:c>
      <x:c r="D19" s="10">
        <x:f>MONTH(B19)</x:f>
        <x:v>4</x:v>
      </x:c>
      <x:c r="E19" s="10" t="str">
        <x:f>TEXT(B19,"mmmm")</x:f>
        <x:v>April</x:v>
      </x:c>
      <x:c r="F19" s="10" t="str">
        <x:f>"Q"&amp;ROUNDUP(D19/3,0)</x:f>
        <x:v>Q2</x:v>
      </x:c>
      <x:c r="G19" s="10" t="str">
        <x:f>IF(OR(D19=12,D19&lt;=2),"Winter",IF(D19&lt;=5,"Spring",IF(D19&lt;=8,"Summer","Autumn")))</x:f>
        <x:v>Spring</x:v>
      </x:c>
      <x:c r="H19" s="11">
        <x:f>weather_data!E19-weather_data!D19</x:f>
        <x:v>1.1999999999999993</x:v>
      </x:c>
      <x:c r="I19" s="10">
        <x:f>IF(OR(weather_data!H19="light rain",weather_data!H19="moderate rain",weather_data!H19="drizzle",weather_data!H19="thunderstorm"),1,0)</x:f>
        <x:v>0</x:v>
      </x:c>
      <x:c r="J19" s="10">
        <x:f>IF(weather_data!I19&gt;=25,1,0)</x:f>
        <x:v>0</x:v>
      </x:c>
    </x:row>
    <x:row r="20">
      <x:c r="A20" s="8">
        <x:f>weather_data!B20</x:f>
        <x:v>45772.80555555555</x:v>
      </x:c>
      <x:c r="B20" s="9">
        <x:f>INT(A20)</x:f>
        <x:v>45772</x:v>
      </x:c>
      <x:c r="C20" s="10" t="str">
        <x:f>TEXT(B20,"yyyy-mm")</x:f>
        <x:v>2025-04</x:v>
      </x:c>
      <x:c r="D20" s="10">
        <x:f>MONTH(B20)</x:f>
        <x:v>4</x:v>
      </x:c>
      <x:c r="E20" s="10" t="str">
        <x:f>TEXT(B20,"mmmm")</x:f>
        <x:v>April</x:v>
      </x:c>
      <x:c r="F20" s="10" t="str">
        <x:f>"Q"&amp;ROUNDUP(D20/3,0)</x:f>
        <x:v>Q2</x:v>
      </x:c>
      <x:c r="G20" s="10" t="str">
        <x:f>IF(OR(D20=12,D20&lt;=2),"Winter",IF(D20&lt;=5,"Spring",IF(D20&lt;=8,"Summer","Autumn")))</x:f>
        <x:v>Spring</x:v>
      </x:c>
      <x:c r="H20" s="11">
        <x:f>weather_data!E20-weather_data!D20</x:f>
        <x:v>-0.40000000000000213</x:v>
      </x:c>
      <x:c r="I20" s="10">
        <x:f>IF(OR(weather_data!H20="light rain",weather_data!H20="moderate rain",weather_data!H20="drizzle",weather_data!H20="thunderstorm"),1,0)</x:f>
        <x:v>0</x:v>
      </x:c>
      <x:c r="J20" s="10">
        <x:f>IF(weather_data!I20&gt;=25,1,0)</x:f>
        <x:v>0</x:v>
      </x:c>
    </x:row>
    <x:row r="21">
      <x:c r="A21" s="8">
        <x:f>weather_data!B21</x:f>
        <x:v>45773.29166666666</x:v>
      </x:c>
      <x:c r="B21" s="9">
        <x:f>INT(A21)</x:f>
        <x:v>45773</x:v>
      </x:c>
      <x:c r="C21" s="10" t="str">
        <x:f>TEXT(B21,"yyyy-mm")</x:f>
        <x:v>2025-04</x:v>
      </x:c>
      <x:c r="D21" s="10">
        <x:f>MONTH(B21)</x:f>
        <x:v>4</x:v>
      </x:c>
      <x:c r="E21" s="10" t="str">
        <x:f>TEXT(B21,"mmmm")</x:f>
        <x:v>April</x:v>
      </x:c>
      <x:c r="F21" s="10" t="str">
        <x:f>"Q"&amp;ROUNDUP(D21/3,0)</x:f>
        <x:v>Q2</x:v>
      </x:c>
      <x:c r="G21" s="10" t="str">
        <x:f>IF(OR(D21=12,D21&lt;=2),"Winter",IF(D21&lt;=5,"Spring",IF(D21&lt;=8,"Summer","Autumn")))</x:f>
        <x:v>Spring</x:v>
      </x:c>
      <x:c r="H21" s="11">
        <x:f>weather_data!E21-weather_data!D21</x:f>
        <x:v>0.9000000000000004</x:v>
      </x:c>
      <x:c r="I21" s="10">
        <x:f>IF(OR(weather_data!H21="light rain",weather_data!H21="moderate rain",weather_data!H21="drizzle",weather_data!H21="thunderstorm"),1,0)</x:f>
        <x:v>0</x:v>
      </x:c>
      <x:c r="J21" s="10">
        <x:f>IF(weather_data!I21&gt;=25,1,0)</x:f>
        <x:v>0</x:v>
      </x:c>
    </x:row>
    <x:row r="22">
      <x:c r="A22" s="8">
        <x:f>weather_data!B22</x:f>
        <x:v>45774.67361111111</x:v>
      </x:c>
      <x:c r="B22" s="9">
        <x:f>INT(A22)</x:f>
        <x:v>45774</x:v>
      </x:c>
      <x:c r="C22" s="10" t="str">
        <x:f>TEXT(B22,"yyyy-mm")</x:f>
        <x:v>2025-04</x:v>
      </x:c>
      <x:c r="D22" s="10">
        <x:f>MONTH(B22)</x:f>
        <x:v>4</x:v>
      </x:c>
      <x:c r="E22" s="10" t="str">
        <x:f>TEXT(B22,"mmmm")</x:f>
        <x:v>April</x:v>
      </x:c>
      <x:c r="F22" s="10" t="str">
        <x:f>"Q"&amp;ROUNDUP(D22/3,0)</x:f>
        <x:v>Q2</x:v>
      </x:c>
      <x:c r="G22" s="10" t="str">
        <x:f>IF(OR(D22=12,D22&lt;=2),"Winter",IF(D22&lt;=5,"Spring",IF(D22&lt;=8,"Summer","Autumn")))</x:f>
        <x:v>Spring</x:v>
      </x:c>
      <x:c r="H22" s="11">
        <x:f>weather_data!E22-weather_data!D22</x:f>
        <x:v>1</x:v>
      </x:c>
      <x:c r="I22" s="10">
        <x:f>IF(OR(weather_data!H22="light rain",weather_data!H22="moderate rain",weather_data!H22="drizzle",weather_data!H22="thunderstorm"),1,0)</x:f>
        <x:v>0</x:v>
      </x:c>
      <x:c r="J22" s="10">
        <x:f>IF(weather_data!I22&gt;=25,1,0)</x:f>
        <x:v>0</x:v>
      </x:c>
    </x:row>
    <x:row r="23">
      <x:c r="A23" s="8">
        <x:f>weather_data!B23</x:f>
        <x:v>45775.59027777778</x:v>
      </x:c>
      <x:c r="B23" s="9">
        <x:f>INT(A23)</x:f>
        <x:v>45775</x:v>
      </x:c>
      <x:c r="C23" s="10" t="str">
        <x:f>TEXT(B23,"yyyy-mm")</x:f>
        <x:v>2025-04</x:v>
      </x:c>
      <x:c r="D23" s="10">
        <x:f>MONTH(B23)</x:f>
        <x:v>4</x:v>
      </x:c>
      <x:c r="E23" s="10" t="str">
        <x:f>TEXT(B23,"mmmm")</x:f>
        <x:v>April</x:v>
      </x:c>
      <x:c r="F23" s="10" t="str">
        <x:f>"Q"&amp;ROUNDUP(D23/3,0)</x:f>
        <x:v>Q2</x:v>
      </x:c>
      <x:c r="G23" s="10" t="str">
        <x:f>IF(OR(D23=12,D23&lt;=2),"Winter",IF(D23&lt;=5,"Spring",IF(D23&lt;=8,"Summer","Autumn")))</x:f>
        <x:v>Spring</x:v>
      </x:c>
      <x:c r="H23" s="11">
        <x:f>weather_data!E23-weather_data!D23</x:f>
        <x:v>-1</x:v>
      </x:c>
      <x:c r="I23" s="10">
        <x:f>IF(OR(weather_data!H23="light rain",weather_data!H23="moderate rain",weather_data!H23="drizzle",weather_data!H23="thunderstorm"),1,0)</x:f>
        <x:v>0</x:v>
      </x:c>
      <x:c r="J23" s="10">
        <x:f>IF(weather_data!I23&gt;=25,1,0)</x:f>
        <x:v>0</x:v>
      </x:c>
    </x:row>
    <x:row r="24">
      <x:c r="A24" s="8">
        <x:f>weather_data!B24</x:f>
        <x:v>45776.86111111111</x:v>
      </x:c>
      <x:c r="B24" s="9">
        <x:f>INT(A24)</x:f>
        <x:v>45776</x:v>
      </x:c>
      <x:c r="C24" s="10" t="str">
        <x:f>TEXT(B24,"yyyy-mm")</x:f>
        <x:v>2025-04</x:v>
      </x:c>
      <x:c r="D24" s="10">
        <x:f>MONTH(B24)</x:f>
        <x:v>4</x:v>
      </x:c>
      <x:c r="E24" s="10" t="str">
        <x:f>TEXT(B24,"mmmm")</x:f>
        <x:v>April</x:v>
      </x:c>
      <x:c r="F24" s="10" t="str">
        <x:f>"Q"&amp;ROUNDUP(D24/3,0)</x:f>
        <x:v>Q2</x:v>
      </x:c>
      <x:c r="G24" s="10" t="str">
        <x:f>IF(OR(D24=12,D24&lt;=2),"Winter",IF(D24&lt;=5,"Spring",IF(D24&lt;=8,"Summer","Autumn")))</x:f>
        <x:v>Spring</x:v>
      </x:c>
      <x:c r="H24" s="11">
        <x:f>weather_data!E24-weather_data!D24</x:f>
        <x:v>-0.1999999999999993</x:v>
      </x:c>
      <x:c r="I24" s="10">
        <x:f>IF(OR(weather_data!H24="light rain",weather_data!H24="moderate rain",weather_data!H24="drizzle",weather_data!H24="thunderstorm"),1,0)</x:f>
        <x:v>0</x:v>
      </x:c>
      <x:c r="J24" s="10">
        <x:f>IF(weather_data!I24&gt;=25,1,0)</x:f>
        <x:v>0</x:v>
      </x:c>
    </x:row>
    <x:row r="25">
      <x:c r="A25" s="8">
        <x:f>weather_data!B25</x:f>
        <x:v>45777.81944444445</x:v>
      </x:c>
      <x:c r="B25" s="9">
        <x:f>INT(A25)</x:f>
        <x:v>45777</x:v>
      </x:c>
      <x:c r="C25" s="10" t="str">
        <x:f>TEXT(B25,"yyyy-mm")</x:f>
        <x:v>2025-04</x:v>
      </x:c>
      <x:c r="D25" s="10">
        <x:f>MONTH(B25)</x:f>
        <x:v>4</x:v>
      </x:c>
      <x:c r="E25" s="10" t="str">
        <x:f>TEXT(B25,"mmmm")</x:f>
        <x:v>April</x:v>
      </x:c>
      <x:c r="F25" s="10" t="str">
        <x:f>"Q"&amp;ROUNDUP(D25/3,0)</x:f>
        <x:v>Q2</x:v>
      </x:c>
      <x:c r="G25" s="10" t="str">
        <x:f>IF(OR(D25=12,D25&lt;=2),"Winter",IF(D25&lt;=5,"Spring",IF(D25&lt;=8,"Summer","Autumn")))</x:f>
        <x:v>Spring</x:v>
      </x:c>
      <x:c r="H25" s="11">
        <x:f>weather_data!E25-weather_data!D25</x:f>
        <x:v>-0.1999999999999993</x:v>
      </x:c>
      <x:c r="I25" s="10">
        <x:f>IF(OR(weather_data!H25="light rain",weather_data!H25="moderate rain",weather_data!H25="drizzle",weather_data!H25="thunderstorm"),1,0)</x:f>
        <x:v>0</x:v>
      </x:c>
      <x:c r="J25" s="10">
        <x:f>IF(weather_data!I25&gt;=25,1,0)</x:f>
        <x:v>0</x:v>
      </x:c>
    </x:row>
    <x:row r="26">
      <x:c r="A26" s="8">
        <x:f>weather_data!B26</x:f>
        <x:v>45778.25</x:v>
      </x:c>
      <x:c r="B26" s="9">
        <x:f>INT(A26)</x:f>
        <x:v>45778</x:v>
      </x:c>
      <x:c r="C26" s="10" t="str">
        <x:f>TEXT(B26,"yyyy-mm")</x:f>
        <x:v>2025-05</x:v>
      </x:c>
      <x:c r="D26" s="10">
        <x:f>MONTH(B26)</x:f>
        <x:v>5</x:v>
      </x:c>
      <x:c r="E26" s="10" t="str">
        <x:f>TEXT(B26,"mmmm")</x:f>
        <x:v>May</x:v>
      </x:c>
      <x:c r="F26" s="10" t="str">
        <x:f>"Q"&amp;ROUNDUP(D26/3,0)</x:f>
        <x:v>Q2</x:v>
      </x:c>
      <x:c r="G26" s="10" t="str">
        <x:f>IF(OR(D26=12,D26&lt;=2),"Winter",IF(D26&lt;=5,"Spring",IF(D26&lt;=8,"Summer","Autumn")))</x:f>
        <x:v>Spring</x:v>
      </x:c>
      <x:c r="H26" s="11">
        <x:f>weather_data!E26-weather_data!D26</x:f>
        <x:v>1.200000000000001</x:v>
      </x:c>
      <x:c r="I26" s="10">
        <x:f>IF(OR(weather_data!H26="light rain",weather_data!H26="moderate rain",weather_data!H26="drizzle",weather_data!H26="thunderstorm"),1,0)</x:f>
        <x:v>0</x:v>
      </x:c>
      <x:c r="J26" s="10">
        <x:f>IF(weather_data!I26&gt;=25,1,0)</x:f>
        <x:v>0</x:v>
      </x:c>
    </x:row>
    <x:row r="27">
      <x:c r="A27" s="8">
        <x:f>weather_data!B27</x:f>
        <x:v>45779.36805555555</x:v>
      </x:c>
      <x:c r="B27" s="9">
        <x:f>INT(A27)</x:f>
        <x:v>45779</x:v>
      </x:c>
      <x:c r="C27" s="10" t="str">
        <x:f>TEXT(B27,"yyyy-mm")</x:f>
        <x:v>2025-05</x:v>
      </x:c>
      <x:c r="D27" s="10">
        <x:f>MONTH(B27)</x:f>
        <x:v>5</x:v>
      </x:c>
      <x:c r="E27" s="10" t="str">
        <x:f>TEXT(B27,"mmmm")</x:f>
        <x:v>May</x:v>
      </x:c>
      <x:c r="F27" s="10" t="str">
        <x:f>"Q"&amp;ROUNDUP(D27/3,0)</x:f>
        <x:v>Q2</x:v>
      </x:c>
      <x:c r="G27" s="10" t="str">
        <x:f>IF(OR(D27=12,D27&lt;=2),"Winter",IF(D27&lt;=5,"Spring",IF(D27&lt;=8,"Summer","Autumn")))</x:f>
        <x:v>Spring</x:v>
      </x:c>
      <x:c r="H27" s="11">
        <x:f>weather_data!E27-weather_data!D27</x:f>
        <x:v>-0.09999999999999787</x:v>
      </x:c>
      <x:c r="I27" s="10">
        <x:f>IF(OR(weather_data!H27="light rain",weather_data!H27="moderate rain",weather_data!H27="drizzle",weather_data!H27="thunderstorm"),1,0)</x:f>
        <x:v>0</x:v>
      </x:c>
      <x:c r="J27" s="10">
        <x:f>IF(weather_data!I27&gt;=25,1,0)</x:f>
        <x:v>0</x:v>
      </x:c>
    </x:row>
    <x:row r="28">
      <x:c r="A28" s="8">
        <x:f>weather_data!B28</x:f>
        <x:v>45780.44444444445</x:v>
      </x:c>
      <x:c r="B28" s="9">
        <x:f>INT(A28)</x:f>
        <x:v>45780</x:v>
      </x:c>
      <x:c r="C28" s="10" t="str">
        <x:f>TEXT(B28,"yyyy-mm")</x:f>
        <x:v>2025-05</x:v>
      </x:c>
      <x:c r="D28" s="10">
        <x:f>MONTH(B28)</x:f>
        <x:v>5</x:v>
      </x:c>
      <x:c r="E28" s="10" t="str">
        <x:f>TEXT(B28,"mmmm")</x:f>
        <x:v>May</x:v>
      </x:c>
      <x:c r="F28" s="10" t="str">
        <x:f>"Q"&amp;ROUNDUP(D28/3,0)</x:f>
        <x:v>Q2</x:v>
      </x:c>
      <x:c r="G28" s="10" t="str">
        <x:f>IF(OR(D28=12,D28&lt;=2),"Winter",IF(D28&lt;=5,"Spring",IF(D28&lt;=8,"Summer","Autumn")))</x:f>
        <x:v>Spring</x:v>
      </x:c>
      <x:c r="H28" s="11">
        <x:f>weather_data!E28-weather_data!D28</x:f>
        <x:v>-0.09999999999999787</x:v>
      </x:c>
      <x:c r="I28" s="10">
        <x:f>IF(OR(weather_data!H28="light rain",weather_data!H28="moderate rain",weather_data!H28="drizzle",weather_data!H28="thunderstorm"),1,0)</x:f>
        <x:v>0</x:v>
      </x:c>
      <x:c r="J28" s="10">
        <x:f>IF(weather_data!I28&gt;=25,1,0)</x:f>
        <x:v>0</x:v>
      </x:c>
    </x:row>
    <x:row r="29">
      <x:c r="A29" s="8">
        <x:f>weather_data!B29</x:f>
        <x:v>45781.30555555555</x:v>
      </x:c>
      <x:c r="B29" s="9">
        <x:f>INT(A29)</x:f>
        <x:v>45781</x:v>
      </x:c>
      <x:c r="C29" s="10" t="str">
        <x:f>TEXT(B29,"yyyy-mm")</x:f>
        <x:v>2025-05</x:v>
      </x:c>
      <x:c r="D29" s="10">
        <x:f>MONTH(B29)</x:f>
        <x:v>5</x:v>
      </x:c>
      <x:c r="E29" s="10" t="str">
        <x:f>TEXT(B29,"mmmm")</x:f>
        <x:v>May</x:v>
      </x:c>
      <x:c r="F29" s="10" t="str">
        <x:f>"Q"&amp;ROUNDUP(D29/3,0)</x:f>
        <x:v>Q2</x:v>
      </x:c>
      <x:c r="G29" s="10" t="str">
        <x:f>IF(OR(D29=12,D29&lt;=2),"Winter",IF(D29&lt;=5,"Spring",IF(D29&lt;=8,"Summer","Autumn")))</x:f>
        <x:v>Spring</x:v>
      </x:c>
      <x:c r="H29" s="11">
        <x:f>weather_data!E29-weather_data!D29</x:f>
        <x:v>1.1999999999999993</x:v>
      </x:c>
      <x:c r="I29" s="10">
        <x:f>IF(OR(weather_data!H29="light rain",weather_data!H29="moderate rain",weather_data!H29="drizzle",weather_data!H29="thunderstorm"),1,0)</x:f>
        <x:v>0</x:v>
      </x:c>
      <x:c r="J29" s="10">
        <x:f>IF(weather_data!I29&gt;=25,1,0)</x:f>
        <x:v>0</x:v>
      </x:c>
    </x:row>
    <x:row r="30">
      <x:c r="A30" s="8">
        <x:f>weather_data!B30</x:f>
        <x:v>45782.4375</x:v>
      </x:c>
      <x:c r="B30" s="9">
        <x:f>INT(A30)</x:f>
        <x:v>45782</x:v>
      </x:c>
      <x:c r="C30" s="10" t="str">
        <x:f>TEXT(B30,"yyyy-mm")</x:f>
        <x:v>2025-05</x:v>
      </x:c>
      <x:c r="D30" s="10">
        <x:f>MONTH(B30)</x:f>
        <x:v>5</x:v>
      </x:c>
      <x:c r="E30" s="10" t="str">
        <x:f>TEXT(B30,"mmmm")</x:f>
        <x:v>May</x:v>
      </x:c>
      <x:c r="F30" s="10" t="str">
        <x:f>"Q"&amp;ROUNDUP(D30/3,0)</x:f>
        <x:v>Q2</x:v>
      </x:c>
      <x:c r="G30" s="10" t="str">
        <x:f>IF(OR(D30=12,D30&lt;=2),"Winter",IF(D30&lt;=5,"Spring",IF(D30&lt;=8,"Summer","Autumn")))</x:f>
        <x:v>Spring</x:v>
      </x:c>
      <x:c r="H30" s="11">
        <x:f>weather_data!E30-weather_data!D30</x:f>
        <x:v>-0.7999999999999989</x:v>
      </x:c>
      <x:c r="I30" s="10">
        <x:f>IF(OR(weather_data!H30="light rain",weather_data!H30="moderate rain",weather_data!H30="drizzle",weather_data!H30="thunderstorm"),1,0)</x:f>
        <x:v>0</x:v>
      </x:c>
      <x:c r="J30" s="10">
        <x:f>IF(weather_data!I30&gt;=25,1,0)</x:f>
        <x:v>0</x:v>
      </x:c>
    </x:row>
    <x:row r="31">
      <x:c r="A31" s="8">
        <x:f>weather_data!B31</x:f>
        <x:v>45783.41666666666</x:v>
      </x:c>
      <x:c r="B31" s="9">
        <x:f>INT(A31)</x:f>
        <x:v>45783</x:v>
      </x:c>
      <x:c r="C31" s="10" t="str">
        <x:f>TEXT(B31,"yyyy-mm")</x:f>
        <x:v>2025-05</x:v>
      </x:c>
      <x:c r="D31" s="10">
        <x:f>MONTH(B31)</x:f>
        <x:v>5</x:v>
      </x:c>
      <x:c r="E31" s="10" t="str">
        <x:f>TEXT(B31,"mmmm")</x:f>
        <x:v>May</x:v>
      </x:c>
      <x:c r="F31" s="10" t="str">
        <x:f>"Q"&amp;ROUNDUP(D31/3,0)</x:f>
        <x:v>Q2</x:v>
      </x:c>
      <x:c r="G31" s="10" t="str">
        <x:f>IF(OR(D31=12,D31&lt;=2),"Winter",IF(D31&lt;=5,"Spring",IF(D31&lt;=8,"Summer","Autumn")))</x:f>
        <x:v>Spring</x:v>
      </x:c>
      <x:c r="H31" s="11">
        <x:f>weather_data!E31-weather_data!D31</x:f>
        <x:v>1</x:v>
      </x:c>
      <x:c r="I31" s="10">
        <x:f>IF(OR(weather_data!H31="light rain",weather_data!H31="moderate rain",weather_data!H31="drizzle",weather_data!H31="thunderstorm"),1,0)</x:f>
        <x:v>0</x:v>
      </x:c>
      <x:c r="J31" s="10">
        <x:f>IF(weather_data!I31&gt;=25,1,0)</x:f>
        <x:v>0</x:v>
      </x:c>
    </x:row>
    <x:row r="32">
      <x:c r="A32" s="8">
        <x:f>weather_data!B32</x:f>
        <x:v>45784.63888888889</x:v>
      </x:c>
      <x:c r="B32" s="9">
        <x:f>INT(A32)</x:f>
        <x:v>45784</x:v>
      </x:c>
      <x:c r="C32" s="10" t="str">
        <x:f>TEXT(B32,"yyyy-mm")</x:f>
        <x:v>2025-05</x:v>
      </x:c>
      <x:c r="D32" s="10">
        <x:f>MONTH(B32)</x:f>
        <x:v>5</x:v>
      </x:c>
      <x:c r="E32" s="10" t="str">
        <x:f>TEXT(B32,"mmmm")</x:f>
        <x:v>May</x:v>
      </x:c>
      <x:c r="F32" s="10" t="str">
        <x:f>"Q"&amp;ROUNDUP(D32/3,0)</x:f>
        <x:v>Q2</x:v>
      </x:c>
      <x:c r="G32" s="10" t="str">
        <x:f>IF(OR(D32=12,D32&lt;=2),"Winter",IF(D32&lt;=5,"Spring",IF(D32&lt;=8,"Summer","Autumn")))</x:f>
        <x:v>Spring</x:v>
      </x:c>
      <x:c r="H32" s="11">
        <x:f>weather_data!E32-weather_data!D32</x:f>
        <x:v>0.09999999999999787</x:v>
      </x:c>
      <x:c r="I32" s="10">
        <x:f>IF(OR(weather_data!H32="light rain",weather_data!H32="moderate rain",weather_data!H32="drizzle",weather_data!H32="thunderstorm"),1,0)</x:f>
        <x:v>0</x:v>
      </x:c>
      <x:c r="J32" s="10">
        <x:f>IF(weather_data!I32&gt;=25,1,0)</x:f>
        <x:v>0</x:v>
      </x:c>
    </x:row>
    <x:row r="33">
      <x:c r="A33" s="8">
        <x:f>weather_data!B33</x:f>
        <x:v>45785.30555555555</x:v>
      </x:c>
      <x:c r="B33" s="9">
        <x:f>INT(A33)</x:f>
        <x:v>45785</x:v>
      </x:c>
      <x:c r="C33" s="10" t="str">
        <x:f>TEXT(B33,"yyyy-mm")</x:f>
        <x:v>2025-05</x:v>
      </x:c>
      <x:c r="D33" s="10">
        <x:f>MONTH(B33)</x:f>
        <x:v>5</x:v>
      </x:c>
      <x:c r="E33" s="10" t="str">
        <x:f>TEXT(B33,"mmmm")</x:f>
        <x:v>May</x:v>
      </x:c>
      <x:c r="F33" s="10" t="str">
        <x:f>"Q"&amp;ROUNDUP(D33/3,0)</x:f>
        <x:v>Q2</x:v>
      </x:c>
      <x:c r="G33" s="10" t="str">
        <x:f>IF(OR(D33=12,D33&lt;=2),"Winter",IF(D33&lt;=5,"Spring",IF(D33&lt;=8,"Summer","Autumn")))</x:f>
        <x:v>Spring</x:v>
      </x:c>
      <x:c r="H33" s="11">
        <x:f>weather_data!E33-weather_data!D33</x:f>
        <x:v>0.3999999999999986</x:v>
      </x:c>
      <x:c r="I33" s="10">
        <x:f>IF(OR(weather_data!H33="light rain",weather_data!H33="moderate rain",weather_data!H33="drizzle",weather_data!H33="thunderstorm"),1,0)</x:f>
        <x:v>0</x:v>
      </x:c>
      <x:c r="J33" s="10">
        <x:f>IF(weather_data!I33&gt;=25,1,0)</x:f>
        <x:v>0</x:v>
      </x:c>
    </x:row>
    <x:row r="34">
      <x:c r="A34" s="8">
        <x:f>weather_data!B34</x:f>
        <x:v>45786.53472222222</x:v>
      </x:c>
      <x:c r="B34" s="9">
        <x:f>INT(A34)</x:f>
        <x:v>45786</x:v>
      </x:c>
      <x:c r="C34" s="10" t="str">
        <x:f>TEXT(B34,"yyyy-mm")</x:f>
        <x:v>2025-05</x:v>
      </x:c>
      <x:c r="D34" s="10">
        <x:f>MONTH(B34)</x:f>
        <x:v>5</x:v>
      </x:c>
      <x:c r="E34" s="10" t="str">
        <x:f>TEXT(B34,"mmmm")</x:f>
        <x:v>May</x:v>
      </x:c>
      <x:c r="F34" s="10" t="str">
        <x:f>"Q"&amp;ROUNDUP(D34/3,0)</x:f>
        <x:v>Q2</x:v>
      </x:c>
      <x:c r="G34" s="10" t="str">
        <x:f>IF(OR(D34=12,D34&lt;=2),"Winter",IF(D34&lt;=5,"Spring",IF(D34&lt;=8,"Summer","Autumn")))</x:f>
        <x:v>Spring</x:v>
      </x:c>
      <x:c r="H34" s="11">
        <x:f>weather_data!E34-weather_data!D34</x:f>
        <x:v>1.1999999999999993</x:v>
      </x:c>
      <x:c r="I34" s="10">
        <x:f>IF(OR(weather_data!H34="light rain",weather_data!H34="moderate rain",weather_data!H34="drizzle",weather_data!H34="thunderstorm"),1,0)</x:f>
        <x:v>0</x:v>
      </x:c>
      <x:c r="J34" s="10">
        <x:f>IF(weather_data!I34&gt;=25,1,0)</x:f>
        <x:v>0</x:v>
      </x:c>
    </x:row>
    <x:row r="35">
      <x:c r="A35" s="8">
        <x:f>weather_data!B35</x:f>
        <x:v>45787.57638888889</x:v>
      </x:c>
      <x:c r="B35" s="9">
        <x:f>INT(A35)</x:f>
        <x:v>45787</x:v>
      </x:c>
      <x:c r="C35" s="10" t="str">
        <x:f>TEXT(B35,"yyyy-mm")</x:f>
        <x:v>2025-05</x:v>
      </x:c>
      <x:c r="D35" s="10">
        <x:f>MONTH(B35)</x:f>
        <x:v>5</x:v>
      </x:c>
      <x:c r="E35" s="10" t="str">
        <x:f>TEXT(B35,"mmmm")</x:f>
        <x:v>May</x:v>
      </x:c>
      <x:c r="F35" s="10" t="str">
        <x:f>"Q"&amp;ROUNDUP(D35/3,0)</x:f>
        <x:v>Q2</x:v>
      </x:c>
      <x:c r="G35" s="10" t="str">
        <x:f>IF(OR(D35=12,D35&lt;=2),"Winter",IF(D35&lt;=5,"Spring",IF(D35&lt;=8,"Summer","Autumn")))</x:f>
        <x:v>Spring</x:v>
      </x:c>
      <x:c r="H35" s="11">
        <x:f>weather_data!E35-weather_data!D35</x:f>
        <x:v>-0.3000000000000007</x:v>
      </x:c>
      <x:c r="I35" s="10">
        <x:f>IF(OR(weather_data!H35="light rain",weather_data!H35="moderate rain",weather_data!H35="drizzle",weather_data!H35="thunderstorm"),1,0)</x:f>
        <x:v>0</x:v>
      </x:c>
      <x:c r="J35" s="10">
        <x:f>IF(weather_data!I35&gt;=25,1,0)</x:f>
        <x:v>0</x:v>
      </x:c>
    </x:row>
    <x:row r="36">
      <x:c r="A36" s="8">
        <x:f>weather_data!B36</x:f>
        <x:v>45788.38888888889</x:v>
      </x:c>
      <x:c r="B36" s="9">
        <x:f>INT(A36)</x:f>
        <x:v>45788</x:v>
      </x:c>
      <x:c r="C36" s="10" t="str">
        <x:f>TEXT(B36,"yyyy-mm")</x:f>
        <x:v>2025-05</x:v>
      </x:c>
      <x:c r="D36" s="10">
        <x:f>MONTH(B36)</x:f>
        <x:v>5</x:v>
      </x:c>
      <x:c r="E36" s="10" t="str">
        <x:f>TEXT(B36,"mmmm")</x:f>
        <x:v>May</x:v>
      </x:c>
      <x:c r="F36" s="10" t="str">
        <x:f>"Q"&amp;ROUNDUP(D36/3,0)</x:f>
        <x:v>Q2</x:v>
      </x:c>
      <x:c r="G36" s="10" t="str">
        <x:f>IF(OR(D36=12,D36&lt;=2),"Winter",IF(D36&lt;=5,"Spring",IF(D36&lt;=8,"Summer","Autumn")))</x:f>
        <x:v>Spring</x:v>
      </x:c>
      <x:c r="H36" s="11">
        <x:f>weather_data!E36-weather_data!D36</x:f>
        <x:v>0.6999999999999993</x:v>
      </x:c>
      <x:c r="I36" s="10">
        <x:f>IF(OR(weather_data!H36="light rain",weather_data!H36="moderate rain",weather_data!H36="drizzle",weather_data!H36="thunderstorm"),1,0)</x:f>
        <x:v>0</x:v>
      </x:c>
      <x:c r="J36" s="10">
        <x:f>IF(weather_data!I36&gt;=25,1,0)</x:f>
        <x:v>0</x:v>
      </x:c>
    </x:row>
    <x:row r="37">
      <x:c r="A37" s="8">
        <x:f>weather_data!B37</x:f>
        <x:v>45789.81944444445</x:v>
      </x:c>
      <x:c r="B37" s="9">
        <x:f>INT(A37)</x:f>
        <x:v>45789</x:v>
      </x:c>
      <x:c r="C37" s="10" t="str">
        <x:f>TEXT(B37,"yyyy-mm")</x:f>
        <x:v>2025-05</x:v>
      </x:c>
      <x:c r="D37" s="10">
        <x:f>MONTH(B37)</x:f>
        <x:v>5</x:v>
      </x:c>
      <x:c r="E37" s="10" t="str">
        <x:f>TEXT(B37,"mmmm")</x:f>
        <x:v>May</x:v>
      </x:c>
      <x:c r="F37" s="10" t="str">
        <x:f>"Q"&amp;ROUNDUP(D37/3,0)</x:f>
        <x:v>Q2</x:v>
      </x:c>
      <x:c r="G37" s="10" t="str">
        <x:f>IF(OR(D37=12,D37&lt;=2),"Winter",IF(D37&lt;=5,"Spring",IF(D37&lt;=8,"Summer","Autumn")))</x:f>
        <x:v>Spring</x:v>
      </x:c>
      <x:c r="H37" s="11">
        <x:f>weather_data!E37-weather_data!D37</x:f>
        <x:v>-0.6999999999999993</x:v>
      </x:c>
      <x:c r="I37" s="10">
        <x:f>IF(OR(weather_data!H37="light rain",weather_data!H37="moderate rain",weather_data!H37="drizzle",weather_data!H37="thunderstorm"),1,0)</x:f>
        <x:v>1</x:v>
      </x:c>
      <x:c r="J37" s="10">
        <x:f>IF(weather_data!I37&gt;=25,1,0)</x:f>
        <x:v>0</x:v>
      </x:c>
    </x:row>
    <x:row r="38">
      <x:c r="A38" s="8">
        <x:f>weather_data!B38</x:f>
        <x:v>45790.42361111111</x:v>
      </x:c>
      <x:c r="B38" s="9">
        <x:f>INT(A38)</x:f>
        <x:v>45790</x:v>
      </x:c>
      <x:c r="C38" s="10" t="str">
        <x:f>TEXT(B38,"yyyy-mm")</x:f>
        <x:v>2025-05</x:v>
      </x:c>
      <x:c r="D38" s="10">
        <x:f>MONTH(B38)</x:f>
        <x:v>5</x:v>
      </x:c>
      <x:c r="E38" s="10" t="str">
        <x:f>TEXT(B38,"mmmm")</x:f>
        <x:v>May</x:v>
      </x:c>
      <x:c r="F38" s="10" t="str">
        <x:f>"Q"&amp;ROUNDUP(D38/3,0)</x:f>
        <x:v>Q2</x:v>
      </x:c>
      <x:c r="G38" s="10" t="str">
        <x:f>IF(OR(D38=12,D38&lt;=2),"Winter",IF(D38&lt;=5,"Spring",IF(D38&lt;=8,"Summer","Autumn")))</x:f>
        <x:v>Spring</x:v>
      </x:c>
      <x:c r="H38" s="11">
        <x:f>weather_data!E38-weather_data!D38</x:f>
        <x:v>1</x:v>
      </x:c>
      <x:c r="I38" s="10">
        <x:f>IF(OR(weather_data!H38="light rain",weather_data!H38="moderate rain",weather_data!H38="drizzle",weather_data!H38="thunderstorm"),1,0)</x:f>
        <x:v>0</x:v>
      </x:c>
      <x:c r="J38" s="10">
        <x:f>IF(weather_data!I38&gt;=25,1,0)</x:f>
        <x:v>0</x:v>
      </x:c>
    </x:row>
    <x:row r="39">
      <x:c r="A39" s="8">
        <x:f>weather_data!B39</x:f>
        <x:v>45791.46527777778</x:v>
      </x:c>
      <x:c r="B39" s="9">
        <x:f>INT(A39)</x:f>
        <x:v>45791</x:v>
      </x:c>
      <x:c r="C39" s="10" t="str">
        <x:f>TEXT(B39,"yyyy-mm")</x:f>
        <x:v>2025-05</x:v>
      </x:c>
      <x:c r="D39" s="10">
        <x:f>MONTH(B39)</x:f>
        <x:v>5</x:v>
      </x:c>
      <x:c r="E39" s="10" t="str">
        <x:f>TEXT(B39,"mmmm")</x:f>
        <x:v>May</x:v>
      </x:c>
      <x:c r="F39" s="10" t="str">
        <x:f>"Q"&amp;ROUNDUP(D39/3,0)</x:f>
        <x:v>Q2</x:v>
      </x:c>
      <x:c r="G39" s="10" t="str">
        <x:f>IF(OR(D39=12,D39&lt;=2),"Winter",IF(D39&lt;=5,"Spring",IF(D39&lt;=8,"Summer","Autumn")))</x:f>
        <x:v>Spring</x:v>
      </x:c>
      <x:c r="H39" s="11">
        <x:f>weather_data!E39-weather_data!D39</x:f>
        <x:v>-0.8999999999999986</x:v>
      </x:c>
      <x:c r="I39" s="10">
        <x:f>IF(OR(weather_data!H39="light rain",weather_data!H39="moderate rain",weather_data!H39="drizzle",weather_data!H39="thunderstorm"),1,0)</x:f>
        <x:v>0</x:v>
      </x:c>
      <x:c r="J39" s="10">
        <x:f>IF(weather_data!I39&gt;=25,1,0)</x:f>
        <x:v>0</x:v>
      </x:c>
    </x:row>
    <x:row r="40">
      <x:c r="A40" s="8">
        <x:f>weather_data!B40</x:f>
        <x:v>45792.79166666666</x:v>
      </x:c>
      <x:c r="B40" s="9">
        <x:f>INT(A40)</x:f>
        <x:v>45792</x:v>
      </x:c>
      <x:c r="C40" s="10" t="str">
        <x:f>TEXT(B40,"yyyy-mm")</x:f>
        <x:v>2025-05</x:v>
      </x:c>
      <x:c r="D40" s="10">
        <x:f>MONTH(B40)</x:f>
        <x:v>5</x:v>
      </x:c>
      <x:c r="E40" s="10" t="str">
        <x:f>TEXT(B40,"mmmm")</x:f>
        <x:v>May</x:v>
      </x:c>
      <x:c r="F40" s="10" t="str">
        <x:f>"Q"&amp;ROUNDUP(D40/3,0)</x:f>
        <x:v>Q2</x:v>
      </x:c>
      <x:c r="G40" s="10" t="str">
        <x:f>IF(OR(D40=12,D40&lt;=2),"Winter",IF(D40&lt;=5,"Spring",IF(D40&lt;=8,"Summer","Autumn")))</x:f>
        <x:v>Spring</x:v>
      </x:c>
      <x:c r="H40" s="11">
        <x:f>weather_data!E40-weather_data!D40</x:f>
        <x:v>0.3999999999999986</x:v>
      </x:c>
      <x:c r="I40" s="10">
        <x:f>IF(OR(weather_data!H40="light rain",weather_data!H40="moderate rain",weather_data!H40="drizzle",weather_data!H40="thunderstorm"),1,0)</x:f>
        <x:v>0</x:v>
      </x:c>
      <x:c r="J40" s="10">
        <x:f>IF(weather_data!I40&gt;=25,1,0)</x:f>
        <x:v>0</x:v>
      </x:c>
    </x:row>
    <x:row r="41">
      <x:c r="A41" s="8">
        <x:f>weather_data!B41</x:f>
        <x:v>45793.49305555555</x:v>
      </x:c>
      <x:c r="B41" s="9">
        <x:f>INT(A41)</x:f>
        <x:v>45793</x:v>
      </x:c>
      <x:c r="C41" s="10" t="str">
        <x:f>TEXT(B41,"yyyy-mm")</x:f>
        <x:v>2025-05</x:v>
      </x:c>
      <x:c r="D41" s="10">
        <x:f>MONTH(B41)</x:f>
        <x:v>5</x:v>
      </x:c>
      <x:c r="E41" s="10" t="str">
        <x:f>TEXT(B41,"mmmm")</x:f>
        <x:v>May</x:v>
      </x:c>
      <x:c r="F41" s="10" t="str">
        <x:f>"Q"&amp;ROUNDUP(D41/3,0)</x:f>
        <x:v>Q2</x:v>
      </x:c>
      <x:c r="G41" s="10" t="str">
        <x:f>IF(OR(D41=12,D41&lt;=2),"Winter",IF(D41&lt;=5,"Spring",IF(D41&lt;=8,"Summer","Autumn")))</x:f>
        <x:v>Spring</x:v>
      </x:c>
      <x:c r="H41" s="11">
        <x:f>weather_data!E41-weather_data!D41</x:f>
        <x:v>-1.1000000000000014</x:v>
      </x:c>
      <x:c r="I41" s="10">
        <x:f>IF(OR(weather_data!H41="light rain",weather_data!H41="moderate rain",weather_data!H41="drizzle",weather_data!H41="thunderstorm"),1,0)</x:f>
        <x:v>0</x:v>
      </x:c>
      <x:c r="J41" s="10">
        <x:f>IF(weather_data!I41&gt;=25,1,0)</x:f>
        <x:v>0</x:v>
      </x:c>
    </x:row>
    <x:row r="42">
      <x:c r="A42" s="8">
        <x:f>weather_data!B42</x:f>
        <x:v>45794.6875</x:v>
      </x:c>
      <x:c r="B42" s="9">
        <x:f>INT(A42)</x:f>
        <x:v>45794</x:v>
      </x:c>
      <x:c r="C42" s="10" t="str">
        <x:f>TEXT(B42,"yyyy-mm")</x:f>
        <x:v>2025-05</x:v>
      </x:c>
      <x:c r="D42" s="10">
        <x:f>MONTH(B42)</x:f>
        <x:v>5</x:v>
      </x:c>
      <x:c r="E42" s="10" t="str">
        <x:f>TEXT(B42,"mmmm")</x:f>
        <x:v>May</x:v>
      </x:c>
      <x:c r="F42" s="10" t="str">
        <x:f>"Q"&amp;ROUNDUP(D42/3,0)</x:f>
        <x:v>Q2</x:v>
      </x:c>
      <x:c r="G42" s="10" t="str">
        <x:f>IF(OR(D42=12,D42&lt;=2),"Winter",IF(D42&lt;=5,"Spring",IF(D42&lt;=8,"Summer","Autumn")))</x:f>
        <x:v>Spring</x:v>
      </x:c>
      <x:c r="H42" s="11">
        <x:f>weather_data!E42-weather_data!D42</x:f>
        <x:v>0.40000000000000213</x:v>
      </x:c>
      <x:c r="I42" s="10">
        <x:f>IF(OR(weather_data!H42="light rain",weather_data!H42="moderate rain",weather_data!H42="drizzle",weather_data!H42="thunderstorm"),1,0)</x:f>
        <x:v>0</x:v>
      </x:c>
      <x:c r="J42" s="10">
        <x:f>IF(weather_data!I42&gt;=25,1,0)</x:f>
        <x:v>0</x:v>
      </x:c>
    </x:row>
    <x:row r="43">
      <x:c r="A43" s="8">
        <x:f>weather_data!B43</x:f>
        <x:v>45795.55555555555</x:v>
      </x:c>
      <x:c r="B43" s="9">
        <x:f>INT(A43)</x:f>
        <x:v>45795</x:v>
      </x:c>
      <x:c r="C43" s="10" t="str">
        <x:f>TEXT(B43,"yyyy-mm")</x:f>
        <x:v>2025-05</x:v>
      </x:c>
      <x:c r="D43" s="10">
        <x:f>MONTH(B43)</x:f>
        <x:v>5</x:v>
      </x:c>
      <x:c r="E43" s="10" t="str">
        <x:f>TEXT(B43,"mmmm")</x:f>
        <x:v>May</x:v>
      </x:c>
      <x:c r="F43" s="10" t="str">
        <x:f>"Q"&amp;ROUNDUP(D43/3,0)</x:f>
        <x:v>Q2</x:v>
      </x:c>
      <x:c r="G43" s="10" t="str">
        <x:f>IF(OR(D43=12,D43&lt;=2),"Winter",IF(D43&lt;=5,"Spring",IF(D43&lt;=8,"Summer","Autumn")))</x:f>
        <x:v>Spring</x:v>
      </x:c>
      <x:c r="H43" s="11">
        <x:f>weather_data!E43-weather_data!D43</x:f>
        <x:v>-0.6000000000000014</x:v>
      </x:c>
      <x:c r="I43" s="10">
        <x:f>IF(OR(weather_data!H43="light rain",weather_data!H43="moderate rain",weather_data!H43="drizzle",weather_data!H43="thunderstorm"),1,0)</x:f>
        <x:v>0</x:v>
      </x:c>
      <x:c r="J43" s="10">
        <x:f>IF(weather_data!I43&gt;=25,1,0)</x:f>
        <x:v>0</x:v>
      </x:c>
    </x:row>
    <x:row r="44">
      <x:c r="A44" s="8">
        <x:f>weather_data!B44</x:f>
        <x:v>45796.49305555555</x:v>
      </x:c>
      <x:c r="B44" s="9">
        <x:f>INT(A44)</x:f>
        <x:v>45796</x:v>
      </x:c>
      <x:c r="C44" s="10" t="str">
        <x:f>TEXT(B44,"yyyy-mm")</x:f>
        <x:v>2025-05</x:v>
      </x:c>
      <x:c r="D44" s="10">
        <x:f>MONTH(B44)</x:f>
        <x:v>5</x:v>
      </x:c>
      <x:c r="E44" s="10" t="str">
        <x:f>TEXT(B44,"mmmm")</x:f>
        <x:v>May</x:v>
      </x:c>
      <x:c r="F44" s="10" t="str">
        <x:f>"Q"&amp;ROUNDUP(D44/3,0)</x:f>
        <x:v>Q2</x:v>
      </x:c>
      <x:c r="G44" s="10" t="str">
        <x:f>IF(OR(D44=12,D44&lt;=2),"Winter",IF(D44&lt;=5,"Spring",IF(D44&lt;=8,"Summer","Autumn")))</x:f>
        <x:v>Spring</x:v>
      </x:c>
      <x:c r="H44" s="11">
        <x:f>weather_data!E44-weather_data!D44</x:f>
        <x:v>0.6000000000000014</x:v>
      </x:c>
      <x:c r="I44" s="10">
        <x:f>IF(OR(weather_data!H44="light rain",weather_data!H44="moderate rain",weather_data!H44="drizzle",weather_data!H44="thunderstorm"),1,0)</x:f>
        <x:v>1</x:v>
      </x:c>
      <x:c r="J44" s="10">
        <x:f>IF(weather_data!I44&gt;=25,1,0)</x:f>
        <x:v>0</x:v>
      </x:c>
    </x:row>
    <x:row r="45">
      <x:c r="A45" s="8">
        <x:f>weather_data!B45</x:f>
        <x:v>45797.39583333334</x:v>
      </x:c>
      <x:c r="B45" s="9">
        <x:f>INT(A45)</x:f>
        <x:v>45797</x:v>
      </x:c>
      <x:c r="C45" s="10" t="str">
        <x:f>TEXT(B45,"yyyy-mm")</x:f>
        <x:v>2025-05</x:v>
      </x:c>
      <x:c r="D45" s="10">
        <x:f>MONTH(B45)</x:f>
        <x:v>5</x:v>
      </x:c>
      <x:c r="E45" s="10" t="str">
        <x:f>TEXT(B45,"mmmm")</x:f>
        <x:v>May</x:v>
      </x:c>
      <x:c r="F45" s="10" t="str">
        <x:f>"Q"&amp;ROUNDUP(D45/3,0)</x:f>
        <x:v>Q2</x:v>
      </x:c>
      <x:c r="G45" s="10" t="str">
        <x:f>IF(OR(D45=12,D45&lt;=2),"Winter",IF(D45&lt;=5,"Spring",IF(D45&lt;=8,"Summer","Autumn")))</x:f>
        <x:v>Spring</x:v>
      </x:c>
      <x:c r="H45" s="11">
        <x:f>weather_data!E45-weather_data!D45</x:f>
        <x:v>0.7999999999999972</x:v>
      </x:c>
      <x:c r="I45" s="10">
        <x:f>IF(OR(weather_data!H45="light rain",weather_data!H45="moderate rain",weather_data!H45="drizzle",weather_data!H45="thunderstorm"),1,0)</x:f>
        <x:v>1</x:v>
      </x:c>
      <x:c r="J45" s="10">
        <x:f>IF(weather_data!I45&gt;=25,1,0)</x:f>
        <x:v>1</x:v>
      </x:c>
    </x:row>
    <x:row r="46">
      <x:c r="A46" s="8">
        <x:f>weather_data!B46</x:f>
        <x:v>45798.3125</x:v>
      </x:c>
      <x:c r="B46" s="9">
        <x:f>INT(A46)</x:f>
        <x:v>45798</x:v>
      </x:c>
      <x:c r="C46" s="10" t="str">
        <x:f>TEXT(B46,"yyyy-mm")</x:f>
        <x:v>2025-05</x:v>
      </x:c>
      <x:c r="D46" s="10">
        <x:f>MONTH(B46)</x:f>
        <x:v>5</x:v>
      </x:c>
      <x:c r="E46" s="10" t="str">
        <x:f>TEXT(B46,"mmmm")</x:f>
        <x:v>May</x:v>
      </x:c>
      <x:c r="F46" s="10" t="str">
        <x:f>"Q"&amp;ROUNDUP(D46/3,0)</x:f>
        <x:v>Q2</x:v>
      </x:c>
      <x:c r="G46" s="10" t="str">
        <x:f>IF(OR(D46=12,D46&lt;=2),"Winter",IF(D46&lt;=5,"Spring",IF(D46&lt;=8,"Summer","Autumn")))</x:f>
        <x:v>Spring</x:v>
      </x:c>
      <x:c r="H46" s="11">
        <x:f>weather_data!E46-weather_data!D46</x:f>
        <x:v>-1.0999999999999979</x:v>
      </x:c>
      <x:c r="I46" s="10">
        <x:f>IF(OR(weather_data!H46="light rain",weather_data!H46="moderate rain",weather_data!H46="drizzle",weather_data!H46="thunderstorm"),1,0)</x:f>
        <x:v>0</x:v>
      </x:c>
      <x:c r="J46" s="10">
        <x:f>IF(weather_data!I46&gt;=25,1,0)</x:f>
        <x:v>0</x:v>
      </x:c>
    </x:row>
    <x:row r="47">
      <x:c r="A47" s="8">
        <x:f>weather_data!B47</x:f>
        <x:v>45799.54861111111</x:v>
      </x:c>
      <x:c r="B47" s="9">
        <x:f>INT(A47)</x:f>
        <x:v>45799</x:v>
      </x:c>
      <x:c r="C47" s="10" t="str">
        <x:f>TEXT(B47,"yyyy-mm")</x:f>
        <x:v>2025-05</x:v>
      </x:c>
      <x:c r="D47" s="10">
        <x:f>MONTH(B47)</x:f>
        <x:v>5</x:v>
      </x:c>
      <x:c r="E47" s="10" t="str">
        <x:f>TEXT(B47,"mmmm")</x:f>
        <x:v>May</x:v>
      </x:c>
      <x:c r="F47" s="10" t="str">
        <x:f>"Q"&amp;ROUNDUP(D47/3,0)</x:f>
        <x:v>Q2</x:v>
      </x:c>
      <x:c r="G47" s="10" t="str">
        <x:f>IF(OR(D47=12,D47&lt;=2),"Winter",IF(D47&lt;=5,"Spring",IF(D47&lt;=8,"Summer","Autumn")))</x:f>
        <x:v>Spring</x:v>
      </x:c>
      <x:c r="H47" s="11">
        <x:f>weather_data!E47-weather_data!D47</x:f>
        <x:v>0.9000000000000021</x:v>
      </x:c>
      <x:c r="I47" s="10">
        <x:f>IF(OR(weather_data!H47="light rain",weather_data!H47="moderate rain",weather_data!H47="drizzle",weather_data!H47="thunderstorm"),1,0)</x:f>
        <x:v>0</x:v>
      </x:c>
      <x:c r="J47" s="10">
        <x:f>IF(weather_data!I47&gt;=25,1,0)</x:f>
        <x:v>0</x:v>
      </x:c>
    </x:row>
    <x:row r="48">
      <x:c r="A48" s="8">
        <x:f>weather_data!B48</x:f>
        <x:v>45800.84722222222</x:v>
      </x:c>
      <x:c r="B48" s="9">
        <x:f>INT(A48)</x:f>
        <x:v>45800</x:v>
      </x:c>
      <x:c r="C48" s="10" t="str">
        <x:f>TEXT(B48,"yyyy-mm")</x:f>
        <x:v>2025-05</x:v>
      </x:c>
      <x:c r="D48" s="10">
        <x:f>MONTH(B48)</x:f>
        <x:v>5</x:v>
      </x:c>
      <x:c r="E48" s="10" t="str">
        <x:f>TEXT(B48,"mmmm")</x:f>
        <x:v>May</x:v>
      </x:c>
      <x:c r="F48" s="10" t="str">
        <x:f>"Q"&amp;ROUNDUP(D48/3,0)</x:f>
        <x:v>Q2</x:v>
      </x:c>
      <x:c r="G48" s="10" t="str">
        <x:f>IF(OR(D48=12,D48&lt;=2),"Winter",IF(D48&lt;=5,"Spring",IF(D48&lt;=8,"Summer","Autumn")))</x:f>
        <x:v>Spring</x:v>
      </x:c>
      <x:c r="H48" s="11">
        <x:f>weather_data!E48-weather_data!D48</x:f>
        <x:v>-0.10000000000000142</x:v>
      </x:c>
      <x:c r="I48" s="10">
        <x:f>IF(OR(weather_data!H48="light rain",weather_data!H48="moderate rain",weather_data!H48="drizzle",weather_data!H48="thunderstorm"),1,0)</x:f>
        <x:v>0</x:v>
      </x:c>
      <x:c r="J48" s="10">
        <x:f>IF(weather_data!I48&gt;=25,1,0)</x:f>
        <x:v>0</x:v>
      </x:c>
    </x:row>
    <x:row r="49">
      <x:c r="A49" s="8">
        <x:f>weather_data!B49</x:f>
        <x:v>45801.63194444445</x:v>
      </x:c>
      <x:c r="B49" s="9">
        <x:f>INT(A49)</x:f>
        <x:v>45801</x:v>
      </x:c>
      <x:c r="C49" s="10" t="str">
        <x:f>TEXT(B49,"yyyy-mm")</x:f>
        <x:v>2025-05</x:v>
      </x:c>
      <x:c r="D49" s="10">
        <x:f>MONTH(B49)</x:f>
        <x:v>5</x:v>
      </x:c>
      <x:c r="E49" s="10" t="str">
        <x:f>TEXT(B49,"mmmm")</x:f>
        <x:v>May</x:v>
      </x:c>
      <x:c r="F49" s="10" t="str">
        <x:f>"Q"&amp;ROUNDUP(D49/3,0)</x:f>
        <x:v>Q2</x:v>
      </x:c>
      <x:c r="G49" s="10" t="str">
        <x:f>IF(OR(D49=12,D49&lt;=2),"Winter",IF(D49&lt;=5,"Spring",IF(D49&lt;=8,"Summer","Autumn")))</x:f>
        <x:v>Spring</x:v>
      </x:c>
      <x:c r="H49" s="11">
        <x:f>weather_data!E49-weather_data!D49</x:f>
        <x:v>1.0999999999999979</x:v>
      </x:c>
      <x:c r="I49" s="10">
        <x:f>IF(OR(weather_data!H49="light rain",weather_data!H49="moderate rain",weather_data!H49="drizzle",weather_data!H49="thunderstorm"),1,0)</x:f>
        <x:v>1</x:v>
      </x:c>
      <x:c r="J49" s="10">
        <x:f>IF(weather_data!I49&gt;=25,1,0)</x:f>
        <x:v>0</x:v>
      </x:c>
    </x:row>
    <x:row r="50">
      <x:c r="A50" s="8">
        <x:f>weather_data!B50</x:f>
        <x:v>45802.54166666666</x:v>
      </x:c>
      <x:c r="B50" s="9">
        <x:f>INT(A50)</x:f>
        <x:v>45802</x:v>
      </x:c>
      <x:c r="C50" s="10" t="str">
        <x:f>TEXT(B50,"yyyy-mm")</x:f>
        <x:v>2025-05</x:v>
      </x:c>
      <x:c r="D50" s="10">
        <x:f>MONTH(B50)</x:f>
        <x:v>5</x:v>
      </x:c>
      <x:c r="E50" s="10" t="str">
        <x:f>TEXT(B50,"mmmm")</x:f>
        <x:v>May</x:v>
      </x:c>
      <x:c r="F50" s="10" t="str">
        <x:f>"Q"&amp;ROUNDUP(D50/3,0)</x:f>
        <x:v>Q2</x:v>
      </x:c>
      <x:c r="G50" s="10" t="str">
        <x:f>IF(OR(D50=12,D50&lt;=2),"Winter",IF(D50&lt;=5,"Spring",IF(D50&lt;=8,"Summer","Autumn")))</x:f>
        <x:v>Spring</x:v>
      </x:c>
      <x:c r="H50" s="11">
        <x:f>weather_data!E50-weather_data!D50</x:f>
        <x:v>-0.9000000000000021</x:v>
      </x:c>
      <x:c r="I50" s="10">
        <x:f>IF(OR(weather_data!H50="light rain",weather_data!H50="moderate rain",weather_data!H50="drizzle",weather_data!H50="thunderstorm"),1,0)</x:f>
        <x:v>0</x:v>
      </x:c>
      <x:c r="J50" s="10">
        <x:f>IF(weather_data!I50&gt;=25,1,0)</x:f>
        <x:v>0</x:v>
      </x:c>
    </x:row>
    <x:row r="51">
      <x:c r="A51" s="8">
        <x:f>weather_data!B51</x:f>
        <x:v>45803.52083333334</x:v>
      </x:c>
      <x:c r="B51" s="9">
        <x:f>INT(A51)</x:f>
        <x:v>45803</x:v>
      </x:c>
      <x:c r="C51" s="10" t="str">
        <x:f>TEXT(B51,"yyyy-mm")</x:f>
        <x:v>2025-05</x:v>
      </x:c>
      <x:c r="D51" s="10">
        <x:f>MONTH(B51)</x:f>
        <x:v>5</x:v>
      </x:c>
      <x:c r="E51" s="10" t="str">
        <x:f>TEXT(B51,"mmmm")</x:f>
        <x:v>May</x:v>
      </x:c>
      <x:c r="F51" s="10" t="str">
        <x:f>"Q"&amp;ROUNDUP(D51/3,0)</x:f>
        <x:v>Q2</x:v>
      </x:c>
      <x:c r="G51" s="10" t="str">
        <x:f>IF(OR(D51=12,D51&lt;=2),"Winter",IF(D51&lt;=5,"Spring",IF(D51&lt;=8,"Summer","Autumn")))</x:f>
        <x:v>Spring</x:v>
      </x:c>
      <x:c r="H51" s="11">
        <x:f>weather_data!E51-weather_data!D51</x:f>
        <x:v>0.3999999999999986</x:v>
      </x:c>
      <x:c r="I51" s="10">
        <x:f>IF(OR(weather_data!H51="light rain",weather_data!H51="moderate rain",weather_data!H51="drizzle",weather_data!H51="thunderstorm"),1,0)</x:f>
        <x:v>0</x:v>
      </x:c>
      <x:c r="J51" s="10">
        <x:f>IF(weather_data!I51&gt;=25,1,0)</x:f>
        <x:v>0</x:v>
      </x:c>
    </x:row>
    <x:row r="52">
      <x:c r="A52" s="8">
        <x:f>weather_data!B52</x:f>
        <x:v>45804.68055555555</x:v>
      </x:c>
      <x:c r="B52" s="9">
        <x:f>INT(A52)</x:f>
        <x:v>45804</x:v>
      </x:c>
      <x:c r="C52" s="10" t="str">
        <x:f>TEXT(B52,"yyyy-mm")</x:f>
        <x:v>2025-05</x:v>
      </x:c>
      <x:c r="D52" s="10">
        <x:f>MONTH(B52)</x:f>
        <x:v>5</x:v>
      </x:c>
      <x:c r="E52" s="10" t="str">
        <x:f>TEXT(B52,"mmmm")</x:f>
        <x:v>May</x:v>
      </x:c>
      <x:c r="F52" s="10" t="str">
        <x:f>"Q"&amp;ROUNDUP(D52/3,0)</x:f>
        <x:v>Q2</x:v>
      </x:c>
      <x:c r="G52" s="10" t="str">
        <x:f>IF(OR(D52=12,D52&lt;=2),"Winter",IF(D52&lt;=5,"Spring",IF(D52&lt;=8,"Summer","Autumn")))</x:f>
        <x:v>Spring</x:v>
      </x:c>
      <x:c r="H52" s="11">
        <x:f>weather_data!E52-weather_data!D52</x:f>
        <x:v>0.8000000000000007</x:v>
      </x:c>
      <x:c r="I52" s="10">
        <x:f>IF(OR(weather_data!H52="light rain",weather_data!H52="moderate rain",weather_data!H52="drizzle",weather_data!H52="thunderstorm"),1,0)</x:f>
        <x:v>0</x:v>
      </x:c>
      <x:c r="J52" s="10">
        <x:f>IF(weather_data!I52&gt;=25,1,0)</x:f>
        <x:v>0</x:v>
      </x:c>
    </x:row>
    <x:row r="53">
      <x:c r="A53" s="8">
        <x:f>weather_data!B53</x:f>
        <x:v>45805.34722222222</x:v>
      </x:c>
      <x:c r="B53" s="9">
        <x:f>INT(A53)</x:f>
        <x:v>45805</x:v>
      </x:c>
      <x:c r="C53" s="10" t="str">
        <x:f>TEXT(B53,"yyyy-mm")</x:f>
        <x:v>2025-05</x:v>
      </x:c>
      <x:c r="D53" s="10">
        <x:f>MONTH(B53)</x:f>
        <x:v>5</x:v>
      </x:c>
      <x:c r="E53" s="10" t="str">
        <x:f>TEXT(B53,"mmmm")</x:f>
        <x:v>May</x:v>
      </x:c>
      <x:c r="F53" s="10" t="str">
        <x:f>"Q"&amp;ROUNDUP(D53/3,0)</x:f>
        <x:v>Q2</x:v>
      </x:c>
      <x:c r="G53" s="10" t="str">
        <x:f>IF(OR(D53=12,D53&lt;=2),"Winter",IF(D53&lt;=5,"Spring",IF(D53&lt;=8,"Summer","Autumn")))</x:f>
        <x:v>Spring</x:v>
      </x:c>
      <x:c r="H53" s="11">
        <x:f>weather_data!E53-weather_data!D53</x:f>
        <x:v>-0.10000000000000142</x:v>
      </x:c>
      <x:c r="I53" s="10">
        <x:f>IF(OR(weather_data!H53="light rain",weather_data!H53="moderate rain",weather_data!H53="drizzle",weather_data!H53="thunderstorm"),1,0)</x:f>
        <x:v>0</x:v>
      </x:c>
      <x:c r="J53" s="10">
        <x:f>IF(weather_data!I53&gt;=25,1,0)</x:f>
        <x:v>0</x:v>
      </x:c>
    </x:row>
    <x:row r="54">
      <x:c r="A54" s="8">
        <x:f>weather_data!B54</x:f>
        <x:v>45806.74305555555</x:v>
      </x:c>
      <x:c r="B54" s="9">
        <x:f>INT(A54)</x:f>
        <x:v>45806</x:v>
      </x:c>
      <x:c r="C54" s="10" t="str">
        <x:f>TEXT(B54,"yyyy-mm")</x:f>
        <x:v>2025-05</x:v>
      </x:c>
      <x:c r="D54" s="10">
        <x:f>MONTH(B54)</x:f>
        <x:v>5</x:v>
      </x:c>
      <x:c r="E54" s="10" t="str">
        <x:f>TEXT(B54,"mmmm")</x:f>
        <x:v>May</x:v>
      </x:c>
      <x:c r="F54" s="10" t="str">
        <x:f>"Q"&amp;ROUNDUP(D54/3,0)</x:f>
        <x:v>Q2</x:v>
      </x:c>
      <x:c r="G54" s="10" t="str">
        <x:f>IF(OR(D54=12,D54&lt;=2),"Winter",IF(D54&lt;=5,"Spring",IF(D54&lt;=8,"Summer","Autumn")))</x:f>
        <x:v>Spring</x:v>
      </x:c>
      <x:c r="H54" s="11">
        <x:f>weather_data!E54-weather_data!D54</x:f>
        <x:v>0.3999999999999986</x:v>
      </x:c>
      <x:c r="I54" s="10">
        <x:f>IF(OR(weather_data!H54="light rain",weather_data!H54="moderate rain",weather_data!H54="drizzle",weather_data!H54="thunderstorm"),1,0)</x:f>
        <x:v>0</x:v>
      </x:c>
      <x:c r="J54" s="10">
        <x:f>IF(weather_data!I54&gt;=25,1,0)</x:f>
        <x:v>1</x:v>
      </x:c>
    </x:row>
    <x:row r="55">
      <x:c r="A55" s="8">
        <x:f>weather_data!B55</x:f>
        <x:v>45808.78472222222</x:v>
      </x:c>
      <x:c r="B55" s="9">
        <x:f>INT(A55)</x:f>
        <x:v>45808</x:v>
      </x:c>
      <x:c r="C55" s="10" t="str">
        <x:f>TEXT(B55,"yyyy-mm")</x:f>
        <x:v>2025-05</x:v>
      </x:c>
      <x:c r="D55" s="10">
        <x:f>MONTH(B55)</x:f>
        <x:v>5</x:v>
      </x:c>
      <x:c r="E55" s="10" t="str">
        <x:f>TEXT(B55,"mmmm")</x:f>
        <x:v>May</x:v>
      </x:c>
      <x:c r="F55" s="10" t="str">
        <x:f>"Q"&amp;ROUNDUP(D55/3,0)</x:f>
        <x:v>Q2</x:v>
      </x:c>
      <x:c r="G55" s="10" t="str">
        <x:f>IF(OR(D55=12,D55&lt;=2),"Winter",IF(D55&lt;=5,"Spring",IF(D55&lt;=8,"Summer","Autumn")))</x:f>
        <x:v>Spring</x:v>
      </x:c>
      <x:c r="H55" s="11">
        <x:f>weather_data!E55-weather_data!D55</x:f>
        <x:v>0.8000000000000007</x:v>
      </x:c>
      <x:c r="I55" s="10">
        <x:f>IF(OR(weather_data!H55="light rain",weather_data!H55="moderate rain",weather_data!H55="drizzle",weather_data!H55="thunderstorm"),1,0)</x:f>
        <x:v>0</x:v>
      </x:c>
      <x:c r="J55" s="10">
        <x:f>IF(weather_data!I55&gt;=25,1,0)</x:f>
        <x:v>0</x:v>
      </x:c>
    </x:row>
    <x:row r="56">
      <x:c r="A56" s="8">
        <x:f>weather_data!B56</x:f>
        <x:v>45809.66666666666</x:v>
      </x:c>
      <x:c r="B56" s="9">
        <x:f>INT(A56)</x:f>
        <x:v>45809</x:v>
      </x:c>
      <x:c r="C56" s="10" t="str">
        <x:f>TEXT(B56,"yyyy-mm")</x:f>
        <x:v>2025-06</x:v>
      </x:c>
      <x:c r="D56" s="10">
        <x:f>MONTH(B56)</x:f>
        <x:v>6</x:v>
      </x:c>
      <x:c r="E56" s="10" t="str">
        <x:f>TEXT(B56,"mmmm")</x:f>
        <x:v>June</x:v>
      </x:c>
      <x:c r="F56" s="10" t="str">
        <x:f>"Q"&amp;ROUNDUP(D56/3,0)</x:f>
        <x:v>Q2</x:v>
      </x:c>
      <x:c r="G56" s="10" t="str">
        <x:f>IF(OR(D56=12,D56&lt;=2),"Winter",IF(D56&lt;=5,"Spring",IF(D56&lt;=8,"Summer","Autumn")))</x:f>
        <x:v>Summer</x:v>
      </x:c>
      <x:c r="H56" s="11">
        <x:f>weather_data!E56-weather_data!D56</x:f>
        <x:v>0.1999999999999993</x:v>
      </x:c>
      <x:c r="I56" s="10">
        <x:f>IF(OR(weather_data!H56="light rain",weather_data!H56="moderate rain",weather_data!H56="drizzle",weather_data!H56="thunderstorm"),1,0)</x:f>
        <x:v>0</x:v>
      </x:c>
      <x:c r="J56" s="10">
        <x:f>IF(weather_data!I56&gt;=25,1,0)</x:f>
        <x:v>0</x:v>
      </x:c>
    </x:row>
    <x:row r="57">
      <x:c r="A57" s="8">
        <x:f>weather_data!B57</x:f>
        <x:v>45810.38888888889</x:v>
      </x:c>
      <x:c r="B57" s="9">
        <x:f>INT(A57)</x:f>
        <x:v>45810</x:v>
      </x:c>
      <x:c r="C57" s="10" t="str">
        <x:f>TEXT(B57,"yyyy-mm")</x:f>
        <x:v>2025-06</x:v>
      </x:c>
      <x:c r="D57" s="10">
        <x:f>MONTH(B57)</x:f>
        <x:v>6</x:v>
      </x:c>
      <x:c r="E57" s="10" t="str">
        <x:f>TEXT(B57,"mmmm")</x:f>
        <x:v>June</x:v>
      </x:c>
      <x:c r="F57" s="10" t="str">
        <x:f>"Q"&amp;ROUNDUP(D57/3,0)</x:f>
        <x:v>Q2</x:v>
      </x:c>
      <x:c r="G57" s="10" t="str">
        <x:f>IF(OR(D57=12,D57&lt;=2),"Winter",IF(D57&lt;=5,"Spring",IF(D57&lt;=8,"Summer","Autumn")))</x:f>
        <x:v>Summer</x:v>
      </x:c>
      <x:c r="H57" s="11">
        <x:f>weather_data!E57-weather_data!D57</x:f>
        <x:v>0.9000000000000021</x:v>
      </x:c>
      <x:c r="I57" s="10">
        <x:f>IF(OR(weather_data!H57="light rain",weather_data!H57="moderate rain",weather_data!H57="drizzle",weather_data!H57="thunderstorm"),1,0)</x:f>
        <x:v>0</x:v>
      </x:c>
      <x:c r="J57" s="10">
        <x:f>IF(weather_data!I57&gt;=25,1,0)</x:f>
        <x:v>0</x:v>
      </x:c>
    </x:row>
    <x:row r="58">
      <x:c r="A58" s="8">
        <x:f>weather_data!B58</x:f>
        <x:v>45811.48611111111</x:v>
      </x:c>
      <x:c r="B58" s="9">
        <x:f>INT(A58)</x:f>
        <x:v>45811</x:v>
      </x:c>
      <x:c r="C58" s="10" t="str">
        <x:f>TEXT(B58,"yyyy-mm")</x:f>
        <x:v>2025-06</x:v>
      </x:c>
      <x:c r="D58" s="10">
        <x:f>MONTH(B58)</x:f>
        <x:v>6</x:v>
      </x:c>
      <x:c r="E58" s="10" t="str">
        <x:f>TEXT(B58,"mmmm")</x:f>
        <x:v>June</x:v>
      </x:c>
      <x:c r="F58" s="10" t="str">
        <x:f>"Q"&amp;ROUNDUP(D58/3,0)</x:f>
        <x:v>Q2</x:v>
      </x:c>
      <x:c r="G58" s="10" t="str">
        <x:f>IF(OR(D58=12,D58&lt;=2),"Winter",IF(D58&lt;=5,"Spring",IF(D58&lt;=8,"Summer","Autumn")))</x:f>
        <x:v>Summer</x:v>
      </x:c>
      <x:c r="H58" s="11">
        <x:f>weather_data!E58-weather_data!D58</x:f>
        <x:v>-0.8999999999999986</x:v>
      </x:c>
      <x:c r="I58" s="10">
        <x:f>IF(OR(weather_data!H58="light rain",weather_data!H58="moderate rain",weather_data!H58="drizzle",weather_data!H58="thunderstorm"),1,0)</x:f>
        <x:v>0</x:v>
      </x:c>
      <x:c r="J58" s="10">
        <x:f>IF(weather_data!I58&gt;=25,1,0)</x:f>
        <x:v>0</x:v>
      </x:c>
    </x:row>
    <x:row r="59">
      <x:c r="A59" s="8">
        <x:f>weather_data!B59</x:f>
        <x:v>45812.58333333334</x:v>
      </x:c>
      <x:c r="B59" s="9">
        <x:f>INT(A59)</x:f>
        <x:v>45812</x:v>
      </x:c>
      <x:c r="C59" s="10" t="str">
        <x:f>TEXT(B59,"yyyy-mm")</x:f>
        <x:v>2025-06</x:v>
      </x:c>
      <x:c r="D59" s="10">
        <x:f>MONTH(B59)</x:f>
        <x:v>6</x:v>
      </x:c>
      <x:c r="E59" s="10" t="str">
        <x:f>TEXT(B59,"mmmm")</x:f>
        <x:v>June</x:v>
      </x:c>
      <x:c r="F59" s="10" t="str">
        <x:f>"Q"&amp;ROUNDUP(D59/3,0)</x:f>
        <x:v>Q2</x:v>
      </x:c>
      <x:c r="G59" s="10" t="str">
        <x:f>IF(OR(D59=12,D59&lt;=2),"Winter",IF(D59&lt;=5,"Spring",IF(D59&lt;=8,"Summer","Autumn")))</x:f>
        <x:v>Summer</x:v>
      </x:c>
      <x:c r="H59" s="11">
        <x:f>weather_data!E59-weather_data!D59</x:f>
        <x:v>0.6000000000000014</x:v>
      </x:c>
      <x:c r="I59" s="10">
        <x:f>IF(OR(weather_data!H59="light rain",weather_data!H59="moderate rain",weather_data!H59="drizzle",weather_data!H59="thunderstorm"),1,0)</x:f>
        <x:v>0</x:v>
      </x:c>
      <x:c r="J59" s="10">
        <x:f>IF(weather_data!I59&gt;=25,1,0)</x:f>
        <x:v>0</x:v>
      </x:c>
    </x:row>
    <x:row r="60">
      <x:c r="A60" s="8">
        <x:f>weather_data!B60</x:f>
        <x:v>45813.40277777778</x:v>
      </x:c>
      <x:c r="B60" s="9">
        <x:f>INT(A60)</x:f>
        <x:v>45813</x:v>
      </x:c>
      <x:c r="C60" s="10" t="str">
        <x:f>TEXT(B60,"yyyy-mm")</x:f>
        <x:v>2025-06</x:v>
      </x:c>
      <x:c r="D60" s="10">
        <x:f>MONTH(B60)</x:f>
        <x:v>6</x:v>
      </x:c>
      <x:c r="E60" s="10" t="str">
        <x:f>TEXT(B60,"mmmm")</x:f>
        <x:v>June</x:v>
      </x:c>
      <x:c r="F60" s="10" t="str">
        <x:f>"Q"&amp;ROUNDUP(D60/3,0)</x:f>
        <x:v>Q2</x:v>
      </x:c>
      <x:c r="G60" s="10" t="str">
        <x:f>IF(OR(D60=12,D60&lt;=2),"Winter",IF(D60&lt;=5,"Spring",IF(D60&lt;=8,"Summer","Autumn")))</x:f>
        <x:v>Summer</x:v>
      </x:c>
      <x:c r="H60" s="11">
        <x:f>weather_data!E60-weather_data!D60</x:f>
        <x:v>0.8999999999999986</x:v>
      </x:c>
      <x:c r="I60" s="10">
        <x:f>IF(OR(weather_data!H60="light rain",weather_data!H60="moderate rain",weather_data!H60="drizzle",weather_data!H60="thunderstorm"),1,0)</x:f>
        <x:v>0</x:v>
      </x:c>
      <x:c r="J60" s="10">
        <x:f>IF(weather_data!I60&gt;=25,1,0)</x:f>
        <x:v>0</x:v>
      </x:c>
    </x:row>
    <x:row r="61">
      <x:c r="A61" s="8">
        <x:f>weather_data!B61</x:f>
        <x:v>45814.80555555555</x:v>
      </x:c>
      <x:c r="B61" s="9">
        <x:f>INT(A61)</x:f>
        <x:v>45814</x:v>
      </x:c>
      <x:c r="C61" s="10" t="str">
        <x:f>TEXT(B61,"yyyy-mm")</x:f>
        <x:v>2025-06</x:v>
      </x:c>
      <x:c r="D61" s="10">
        <x:f>MONTH(B61)</x:f>
        <x:v>6</x:v>
      </x:c>
      <x:c r="E61" s="10" t="str">
        <x:f>TEXT(B61,"mmmm")</x:f>
        <x:v>June</x:v>
      </x:c>
      <x:c r="F61" s="10" t="str">
        <x:f>"Q"&amp;ROUNDUP(D61/3,0)</x:f>
        <x:v>Q2</x:v>
      </x:c>
      <x:c r="G61" s="10" t="str">
        <x:f>IF(OR(D61=12,D61&lt;=2),"Winter",IF(D61&lt;=5,"Spring",IF(D61&lt;=8,"Summer","Autumn")))</x:f>
        <x:v>Summer</x:v>
      </x:c>
      <x:c r="H61" s="11">
        <x:f>weather_data!E61-weather_data!D61</x:f>
        <x:v>-0.10000000000000142</x:v>
      </x:c>
      <x:c r="I61" s="10">
        <x:f>IF(OR(weather_data!H61="light rain",weather_data!H61="moderate rain",weather_data!H61="drizzle",weather_data!H61="thunderstorm"),1,0)</x:f>
        <x:v>0</x:v>
      </x:c>
      <x:c r="J61" s="10">
        <x:f>IF(weather_data!I61&gt;=25,1,0)</x:f>
        <x:v>0</x:v>
      </x:c>
    </x:row>
    <x:row r="62">
      <x:c r="A62" s="8">
        <x:f>weather_data!B62</x:f>
        <x:v>45815.6875</x:v>
      </x:c>
      <x:c r="B62" s="9">
        <x:f>INT(A62)</x:f>
        <x:v>45815</x:v>
      </x:c>
      <x:c r="C62" s="10" t="str">
        <x:f>TEXT(B62,"yyyy-mm")</x:f>
        <x:v>2025-06</x:v>
      </x:c>
      <x:c r="D62" s="10">
        <x:f>MONTH(B62)</x:f>
        <x:v>6</x:v>
      </x:c>
      <x:c r="E62" s="10" t="str">
        <x:f>TEXT(B62,"mmmm")</x:f>
        <x:v>June</x:v>
      </x:c>
      <x:c r="F62" s="10" t="str">
        <x:f>"Q"&amp;ROUNDUP(D62/3,0)</x:f>
        <x:v>Q2</x:v>
      </x:c>
      <x:c r="G62" s="10" t="str">
        <x:f>IF(OR(D62=12,D62&lt;=2),"Winter",IF(D62&lt;=5,"Spring",IF(D62&lt;=8,"Summer","Autumn")))</x:f>
        <x:v>Summer</x:v>
      </x:c>
      <x:c r="H62" s="11">
        <x:f>weather_data!E62-weather_data!D62</x:f>
        <x:v>-1.1000000000000014</x:v>
      </x:c>
      <x:c r="I62" s="10">
        <x:f>IF(OR(weather_data!H62="light rain",weather_data!H62="moderate rain",weather_data!H62="drizzle",weather_data!H62="thunderstorm"),1,0)</x:f>
        <x:v>1</x:v>
      </x:c>
      <x:c r="J62" s="10">
        <x:f>IF(weather_data!I62&gt;=25,1,0)</x:f>
        <x:v>0</x:v>
      </x:c>
    </x:row>
    <x:row r="63">
      <x:c r="A63" s="8">
        <x:f>weather_data!B63</x:f>
        <x:v>45816.39583333334</x:v>
      </x:c>
      <x:c r="B63" s="9">
        <x:f>INT(A63)</x:f>
        <x:v>45816</x:v>
      </x:c>
      <x:c r="C63" s="10" t="str">
        <x:f>TEXT(B63,"yyyy-mm")</x:f>
        <x:v>2025-06</x:v>
      </x:c>
      <x:c r="D63" s="10">
        <x:f>MONTH(B63)</x:f>
        <x:v>6</x:v>
      </x:c>
      <x:c r="E63" s="10" t="str">
        <x:f>TEXT(B63,"mmmm")</x:f>
        <x:v>June</x:v>
      </x:c>
      <x:c r="F63" s="10" t="str">
        <x:f>"Q"&amp;ROUNDUP(D63/3,0)</x:f>
        <x:v>Q2</x:v>
      </x:c>
      <x:c r="G63" s="10" t="str">
        <x:f>IF(OR(D63=12,D63&lt;=2),"Winter",IF(D63&lt;=5,"Spring",IF(D63&lt;=8,"Summer","Autumn")))</x:f>
        <x:v>Summer</x:v>
      </x:c>
      <x:c r="H63" s="11">
        <x:f>weather_data!E63-weather_data!D63</x:f>
        <x:v>0.9000000000000021</x:v>
      </x:c>
      <x:c r="I63" s="10">
        <x:f>IF(OR(weather_data!H63="light rain",weather_data!H63="moderate rain",weather_data!H63="drizzle",weather_data!H63="thunderstorm"),1,0)</x:f>
        <x:v>0</x:v>
      </x:c>
      <x:c r="J63" s="10">
        <x:f>IF(weather_data!I63&gt;=25,1,0)</x:f>
        <x:v>0</x:v>
      </x:c>
    </x:row>
    <x:row r="64">
      <x:c r="A64" s="8">
        <x:f>weather_data!B64</x:f>
        <x:v>45817.51388888889</x:v>
      </x:c>
      <x:c r="B64" s="9">
        <x:f>INT(A64)</x:f>
        <x:v>45817</x:v>
      </x:c>
      <x:c r="C64" s="10" t="str">
        <x:f>TEXT(B64,"yyyy-mm")</x:f>
        <x:v>2025-06</x:v>
      </x:c>
      <x:c r="D64" s="10">
        <x:f>MONTH(B64)</x:f>
        <x:v>6</x:v>
      </x:c>
      <x:c r="E64" s="10" t="str">
        <x:f>TEXT(B64,"mmmm")</x:f>
        <x:v>June</x:v>
      </x:c>
      <x:c r="F64" s="10" t="str">
        <x:f>"Q"&amp;ROUNDUP(D64/3,0)</x:f>
        <x:v>Q2</x:v>
      </x:c>
      <x:c r="G64" s="10" t="str">
        <x:f>IF(OR(D64=12,D64&lt;=2),"Winter",IF(D64&lt;=5,"Spring",IF(D64&lt;=8,"Summer","Autumn")))</x:f>
        <x:v>Summer</x:v>
      </x:c>
      <x:c r="H64" s="11">
        <x:f>weather_data!E64-weather_data!D64</x:f>
        <x:v>-1.1999999999999993</x:v>
      </x:c>
      <x:c r="I64" s="10">
        <x:f>IF(OR(weather_data!H64="light rain",weather_data!H64="moderate rain",weather_data!H64="drizzle",weather_data!H64="thunderstorm"),1,0)</x:f>
        <x:v>0</x:v>
      </x:c>
      <x:c r="J64" s="10">
        <x:f>IF(weather_data!I64&gt;=25,1,0)</x:f>
        <x:v>0</x:v>
      </x:c>
    </x:row>
    <x:row r="65">
      <x:c r="A65" s="8">
        <x:f>weather_data!B65</x:f>
        <x:v>45818.32638888889</x:v>
      </x:c>
      <x:c r="B65" s="9">
        <x:f>INT(A65)</x:f>
        <x:v>45818</x:v>
      </x:c>
      <x:c r="C65" s="10" t="str">
        <x:f>TEXT(B65,"yyyy-mm")</x:f>
        <x:v>2025-06</x:v>
      </x:c>
      <x:c r="D65" s="10">
        <x:f>MONTH(B65)</x:f>
        <x:v>6</x:v>
      </x:c>
      <x:c r="E65" s="10" t="str">
        <x:f>TEXT(B65,"mmmm")</x:f>
        <x:v>June</x:v>
      </x:c>
      <x:c r="F65" s="10" t="str">
        <x:f>"Q"&amp;ROUNDUP(D65/3,0)</x:f>
        <x:v>Q2</x:v>
      </x:c>
      <x:c r="G65" s="10" t="str">
        <x:f>IF(OR(D65=12,D65&lt;=2),"Winter",IF(D65&lt;=5,"Spring",IF(D65&lt;=8,"Summer","Autumn")))</x:f>
        <x:v>Summer</x:v>
      </x:c>
      <x:c r="H65" s="11">
        <x:f>weather_data!E65-weather_data!D65</x:f>
        <x:v>0.6000000000000014</x:v>
      </x:c>
      <x:c r="I65" s="10">
        <x:f>IF(OR(weather_data!H65="light rain",weather_data!H65="moderate rain",weather_data!H65="drizzle",weather_data!H65="thunderstorm"),1,0)</x:f>
        <x:v>0</x:v>
      </x:c>
      <x:c r="J65" s="10">
        <x:f>IF(weather_data!I65&gt;=25,1,0)</x:f>
        <x:v>0</x:v>
      </x:c>
    </x:row>
    <x:row r="66">
      <x:c r="A66" s="8">
        <x:f>weather_data!B66</x:f>
        <x:v>45819.79166666666</x:v>
      </x:c>
      <x:c r="B66" s="9">
        <x:f>INT(A66)</x:f>
        <x:v>45819</x:v>
      </x:c>
      <x:c r="C66" s="10" t="str">
        <x:f>TEXT(B66,"yyyy-mm")</x:f>
        <x:v>2025-06</x:v>
      </x:c>
      <x:c r="D66" s="10">
        <x:f>MONTH(B66)</x:f>
        <x:v>6</x:v>
      </x:c>
      <x:c r="E66" s="10" t="str">
        <x:f>TEXT(B66,"mmmm")</x:f>
        <x:v>June</x:v>
      </x:c>
      <x:c r="F66" s="10" t="str">
        <x:f>"Q"&amp;ROUNDUP(D66/3,0)</x:f>
        <x:v>Q2</x:v>
      </x:c>
      <x:c r="G66" s="10" t="str">
        <x:f>IF(OR(D66=12,D66&lt;=2),"Winter",IF(D66&lt;=5,"Spring",IF(D66&lt;=8,"Summer","Autumn")))</x:f>
        <x:v>Summer</x:v>
      </x:c>
      <x:c r="H66" s="11">
        <x:f>weather_data!E66-weather_data!D66</x:f>
        <x:v>0.3999999999999986</x:v>
      </x:c>
      <x:c r="I66" s="10">
        <x:f>IF(OR(weather_data!H66="light rain",weather_data!H66="moderate rain",weather_data!H66="drizzle",weather_data!H66="thunderstorm"),1,0)</x:f>
        <x:v>0</x:v>
      </x:c>
      <x:c r="J66" s="10">
        <x:f>IF(weather_data!I66&gt;=25,1,0)</x:f>
        <x:v>0</x:v>
      </x:c>
    </x:row>
    <x:row r="67">
      <x:c r="A67" s="8">
        <x:f>weather_data!B67</x:f>
        <x:v>45821.51388888889</x:v>
      </x:c>
      <x:c r="B67" s="9">
        <x:f>INT(A67)</x:f>
        <x:v>45821</x:v>
      </x:c>
      <x:c r="C67" s="10" t="str">
        <x:f>TEXT(B67,"yyyy-mm")</x:f>
        <x:v>2025-06</x:v>
      </x:c>
      <x:c r="D67" s="10">
        <x:f>MONTH(B67)</x:f>
        <x:v>6</x:v>
      </x:c>
      <x:c r="E67" s="10" t="str">
        <x:f>TEXT(B67,"mmmm")</x:f>
        <x:v>June</x:v>
      </x:c>
      <x:c r="F67" s="10" t="str">
        <x:f>"Q"&amp;ROUNDUP(D67/3,0)</x:f>
        <x:v>Q2</x:v>
      </x:c>
      <x:c r="G67" s="10" t="str">
        <x:f>IF(OR(D67=12,D67&lt;=2),"Winter",IF(D67&lt;=5,"Spring",IF(D67&lt;=8,"Summer","Autumn")))</x:f>
        <x:v>Summer</x:v>
      </x:c>
      <x:c r="H67" s="11">
        <x:f>weather_data!E67-weather_data!D67</x:f>
        <x:v>0.1999999999999993</x:v>
      </x:c>
      <x:c r="I67" s="10">
        <x:f>IF(OR(weather_data!H67="light rain",weather_data!H67="moderate rain",weather_data!H67="drizzle",weather_data!H67="thunderstorm"),1,0)</x:f>
        <x:v>0</x:v>
      </x:c>
      <x:c r="J67" s="10">
        <x:f>IF(weather_data!I67&gt;=25,1,0)</x:f>
        <x:v>0</x:v>
      </x:c>
    </x:row>
    <x:row r="68">
      <x:c r="A68" s="8">
        <x:f>weather_data!B68</x:f>
        <x:v>45822.79166666666</x:v>
      </x:c>
      <x:c r="B68" s="9">
        <x:f>INT(A68)</x:f>
        <x:v>45822</x:v>
      </x:c>
      <x:c r="C68" s="10" t="str">
        <x:f>TEXT(B68,"yyyy-mm")</x:f>
        <x:v>2025-06</x:v>
      </x:c>
      <x:c r="D68" s="10">
        <x:f>MONTH(B68)</x:f>
        <x:v>6</x:v>
      </x:c>
      <x:c r="E68" s="10" t="str">
        <x:f>TEXT(B68,"mmmm")</x:f>
        <x:v>June</x:v>
      </x:c>
      <x:c r="F68" s="10" t="str">
        <x:f>"Q"&amp;ROUNDUP(D68/3,0)</x:f>
        <x:v>Q2</x:v>
      </x:c>
      <x:c r="G68" s="10" t="str">
        <x:f>IF(OR(D68=12,D68&lt;=2),"Winter",IF(D68&lt;=5,"Spring",IF(D68&lt;=8,"Summer","Autumn")))</x:f>
        <x:v>Summer</x:v>
      </x:c>
      <x:c r="H68" s="11">
        <x:f>weather_data!E68-weather_data!D68</x:f>
        <x:v>-0.3000000000000007</x:v>
      </x:c>
      <x:c r="I68" s="10">
        <x:f>IF(OR(weather_data!H68="light rain",weather_data!H68="moderate rain",weather_data!H68="drizzle",weather_data!H68="thunderstorm"),1,0)</x:f>
        <x:v>1</x:v>
      </x:c>
      <x:c r="J68" s="10">
        <x:f>IF(weather_data!I68&gt;=25,1,0)</x:f>
        <x:v>0</x:v>
      </x:c>
    </x:row>
    <x:row r="69">
      <x:c r="A69" s="8">
        <x:f>weather_data!B69</x:f>
        <x:v>45823.69444444445</x:v>
      </x:c>
      <x:c r="B69" s="9">
        <x:f>INT(A69)</x:f>
        <x:v>45823</x:v>
      </x:c>
      <x:c r="C69" s="10" t="str">
        <x:f>TEXT(B69,"yyyy-mm")</x:f>
        <x:v>2025-06</x:v>
      </x:c>
      <x:c r="D69" s="10">
        <x:f>MONTH(B69)</x:f>
        <x:v>6</x:v>
      </x:c>
      <x:c r="E69" s="10" t="str">
        <x:f>TEXT(B69,"mmmm")</x:f>
        <x:v>June</x:v>
      </x:c>
      <x:c r="F69" s="10" t="str">
        <x:f>"Q"&amp;ROUNDUP(D69/3,0)</x:f>
        <x:v>Q2</x:v>
      </x:c>
      <x:c r="G69" s="10" t="str">
        <x:f>IF(OR(D69=12,D69&lt;=2),"Winter",IF(D69&lt;=5,"Spring",IF(D69&lt;=8,"Summer","Autumn")))</x:f>
        <x:v>Summer</x:v>
      </x:c>
      <x:c r="H69" s="11">
        <x:f>weather_data!E69-weather_data!D69</x:f>
        <x:v>0.6999999999999993</x:v>
      </x:c>
      <x:c r="I69" s="10">
        <x:f>IF(OR(weather_data!H69="light rain",weather_data!H69="moderate rain",weather_data!H69="drizzle",weather_data!H69="thunderstorm"),1,0)</x:f>
        <x:v>1</x:v>
      </x:c>
      <x:c r="J69" s="10">
        <x:f>IF(weather_data!I69&gt;=25,1,0)</x:f>
        <x:v>0</x:v>
      </x:c>
    </x:row>
    <x:row r="70">
      <x:c r="A70" s="8">
        <x:f>weather_data!B70</x:f>
        <x:v>45824.70138888889</x:v>
      </x:c>
      <x:c r="B70" s="9">
        <x:f>INT(A70)</x:f>
        <x:v>45824</x:v>
      </x:c>
      <x:c r="C70" s="10" t="str">
        <x:f>TEXT(B70,"yyyy-mm")</x:f>
        <x:v>2025-06</x:v>
      </x:c>
      <x:c r="D70" s="10">
        <x:f>MONTH(B70)</x:f>
        <x:v>6</x:v>
      </x:c>
      <x:c r="E70" s="10" t="str">
        <x:f>TEXT(B70,"mmmm")</x:f>
        <x:v>June</x:v>
      </x:c>
      <x:c r="F70" s="10" t="str">
        <x:f>"Q"&amp;ROUNDUP(D70/3,0)</x:f>
        <x:v>Q2</x:v>
      </x:c>
      <x:c r="G70" s="10" t="str">
        <x:f>IF(OR(D70=12,D70&lt;=2),"Winter",IF(D70&lt;=5,"Spring",IF(D70&lt;=8,"Summer","Autumn")))</x:f>
        <x:v>Summer</x:v>
      </x:c>
      <x:c r="H70" s="11">
        <x:f>weather_data!E70-weather_data!D70</x:f>
        <x:v>-0.6999999999999993</x:v>
      </x:c>
      <x:c r="I70" s="10">
        <x:f>IF(OR(weather_data!H70="light rain",weather_data!H70="moderate rain",weather_data!H70="drizzle",weather_data!H70="thunderstorm"),1,0)</x:f>
        <x:v>1</x:v>
      </x:c>
      <x:c r="J70" s="10">
        <x:f>IF(weather_data!I70&gt;=25,1,0)</x:f>
        <x:v>0</x:v>
      </x:c>
    </x:row>
    <x:row r="71">
      <x:c r="A71" s="8">
        <x:f>weather_data!B71</x:f>
        <x:v>45825.40972222222</x:v>
      </x:c>
      <x:c r="B71" s="9">
        <x:f>INT(A71)</x:f>
        <x:v>45825</x:v>
      </x:c>
      <x:c r="C71" s="10" t="str">
        <x:f>TEXT(B71,"yyyy-mm")</x:f>
        <x:v>2025-06</x:v>
      </x:c>
      <x:c r="D71" s="10">
        <x:f>MONTH(B71)</x:f>
        <x:v>6</x:v>
      </x:c>
      <x:c r="E71" s="10" t="str">
        <x:f>TEXT(B71,"mmmm")</x:f>
        <x:v>June</x:v>
      </x:c>
      <x:c r="F71" s="10" t="str">
        <x:f>"Q"&amp;ROUNDUP(D71/3,0)</x:f>
        <x:v>Q2</x:v>
      </x:c>
      <x:c r="G71" s="10" t="str">
        <x:f>IF(OR(D71=12,D71&lt;=2),"Winter",IF(D71&lt;=5,"Spring",IF(D71&lt;=8,"Summer","Autumn")))</x:f>
        <x:v>Summer</x:v>
      </x:c>
      <x:c r="H71" s="11">
        <x:f>weather_data!E71-weather_data!D71</x:f>
        <x:v>1.1000000000000014</x:v>
      </x:c>
      <x:c r="I71" s="10">
        <x:f>IF(OR(weather_data!H71="light rain",weather_data!H71="moderate rain",weather_data!H71="drizzle",weather_data!H71="thunderstorm"),1,0)</x:f>
        <x:v>0</x:v>
      </x:c>
      <x:c r="J71" s="10">
        <x:f>IF(weather_data!I71&gt;=25,1,0)</x:f>
        <x:v>0</x:v>
      </x:c>
    </x:row>
    <x:row r="72">
      <x:c r="A72" s="8">
        <x:f>weather_data!B72</x:f>
        <x:v>45827.65277777778</x:v>
      </x:c>
      <x:c r="B72" s="9">
        <x:f>INT(A72)</x:f>
        <x:v>45827</x:v>
      </x:c>
      <x:c r="C72" s="10" t="str">
        <x:f>TEXT(B72,"yyyy-mm")</x:f>
        <x:v>2025-06</x:v>
      </x:c>
      <x:c r="D72" s="10">
        <x:f>MONTH(B72)</x:f>
        <x:v>6</x:v>
      </x:c>
      <x:c r="E72" s="10" t="str">
        <x:f>TEXT(B72,"mmmm")</x:f>
        <x:v>June</x:v>
      </x:c>
      <x:c r="F72" s="10" t="str">
        <x:f>"Q"&amp;ROUNDUP(D72/3,0)</x:f>
        <x:v>Q2</x:v>
      </x:c>
      <x:c r="G72" s="10" t="str">
        <x:f>IF(OR(D72=12,D72&lt;=2),"Winter",IF(D72&lt;=5,"Spring",IF(D72&lt;=8,"Summer","Autumn")))</x:f>
        <x:v>Summer</x:v>
      </x:c>
      <x:c r="H72" s="11">
        <x:f>weather_data!E72-weather_data!D72</x:f>
        <x:v>-1.1000000000000014</x:v>
      </x:c>
      <x:c r="I72" s="10">
        <x:f>IF(OR(weather_data!H72="light rain",weather_data!H72="moderate rain",weather_data!H72="drizzle",weather_data!H72="thunderstorm"),1,0)</x:f>
        <x:v>0</x:v>
      </x:c>
      <x:c r="J72" s="10">
        <x:f>IF(weather_data!I72&gt;=25,1,0)</x:f>
        <x:v>0</x:v>
      </x:c>
    </x:row>
    <x:row r="73">
      <x:c r="A73" s="8">
        <x:f>weather_data!B73</x:f>
        <x:v>45829.65972222222</x:v>
      </x:c>
      <x:c r="B73" s="9">
        <x:f>INT(A73)</x:f>
        <x:v>45829</x:v>
      </x:c>
      <x:c r="C73" s="10" t="str">
        <x:f>TEXT(B73,"yyyy-mm")</x:f>
        <x:v>2025-06</x:v>
      </x:c>
      <x:c r="D73" s="10">
        <x:f>MONTH(B73)</x:f>
        <x:v>6</x:v>
      </x:c>
      <x:c r="E73" s="10" t="str">
        <x:f>TEXT(B73,"mmmm")</x:f>
        <x:v>June</x:v>
      </x:c>
      <x:c r="F73" s="10" t="str">
        <x:f>"Q"&amp;ROUNDUP(D73/3,0)</x:f>
        <x:v>Q2</x:v>
      </x:c>
      <x:c r="G73" s="10" t="str">
        <x:f>IF(OR(D73=12,D73&lt;=2),"Winter",IF(D73&lt;=5,"Spring",IF(D73&lt;=8,"Summer","Autumn")))</x:f>
        <x:v>Summer</x:v>
      </x:c>
      <x:c r="H73" s="11">
        <x:f>weather_data!E73-weather_data!D73</x:f>
        <x:v>1.1999999999999993</x:v>
      </x:c>
      <x:c r="I73" s="10">
        <x:f>IF(OR(weather_data!H73="light rain",weather_data!H73="moderate rain",weather_data!H73="drizzle",weather_data!H73="thunderstorm"),1,0)</x:f>
        <x:v>0</x:v>
      </x:c>
      <x:c r="J73" s="10">
        <x:f>IF(weather_data!I73&gt;=25,1,0)</x:f>
        <x:v>0</x:v>
      </x:c>
    </x:row>
    <x:row r="74">
      <x:c r="A74" s="8">
        <x:f>weather_data!B74</x:f>
        <x:v>45830.80555555555</x:v>
      </x:c>
      <x:c r="B74" s="9">
        <x:f>INT(A74)</x:f>
        <x:v>45830</x:v>
      </x:c>
      <x:c r="C74" s="10" t="str">
        <x:f>TEXT(B74,"yyyy-mm")</x:f>
        <x:v>2025-06</x:v>
      </x:c>
      <x:c r="D74" s="10">
        <x:f>MONTH(B74)</x:f>
        <x:v>6</x:v>
      </x:c>
      <x:c r="E74" s="10" t="str">
        <x:f>TEXT(B74,"mmmm")</x:f>
        <x:v>June</x:v>
      </x:c>
      <x:c r="F74" s="10" t="str">
        <x:f>"Q"&amp;ROUNDUP(D74/3,0)</x:f>
        <x:v>Q2</x:v>
      </x:c>
      <x:c r="G74" s="10" t="str">
        <x:f>IF(OR(D74=12,D74&lt;=2),"Winter",IF(D74&lt;=5,"Spring",IF(D74&lt;=8,"Summer","Autumn")))</x:f>
        <x:v>Summer</x:v>
      </x:c>
      <x:c r="H74" s="11">
        <x:f>weather_data!E74-weather_data!D74</x:f>
        <x:v>-0.3000000000000007</x:v>
      </x:c>
      <x:c r="I74" s="10">
        <x:f>IF(OR(weather_data!H74="light rain",weather_data!H74="moderate rain",weather_data!H74="drizzle",weather_data!H74="thunderstorm"),1,0)</x:f>
        <x:v>0</x:v>
      </x:c>
      <x:c r="J74" s="10">
        <x:f>IF(weather_data!I74&gt;=25,1,0)</x:f>
        <x:v>0</x:v>
      </x:c>
    </x:row>
    <x:row r="75">
      <x:c r="A75" s="8">
        <x:f>weather_data!B75</x:f>
        <x:v>45831.78472222222</x:v>
      </x:c>
      <x:c r="B75" s="9">
        <x:f>INT(A75)</x:f>
        <x:v>45831</x:v>
      </x:c>
      <x:c r="C75" s="10" t="str">
        <x:f>TEXT(B75,"yyyy-mm")</x:f>
        <x:v>2025-06</x:v>
      </x:c>
      <x:c r="D75" s="10">
        <x:f>MONTH(B75)</x:f>
        <x:v>6</x:v>
      </x:c>
      <x:c r="E75" s="10" t="str">
        <x:f>TEXT(B75,"mmmm")</x:f>
        <x:v>June</x:v>
      </x:c>
      <x:c r="F75" s="10" t="str">
        <x:f>"Q"&amp;ROUNDUP(D75/3,0)</x:f>
        <x:v>Q2</x:v>
      </x:c>
      <x:c r="G75" s="10" t="str">
        <x:f>IF(OR(D75=12,D75&lt;=2),"Winter",IF(D75&lt;=5,"Spring",IF(D75&lt;=8,"Summer","Autumn")))</x:f>
        <x:v>Summer</x:v>
      </x:c>
      <x:c r="H75" s="11">
        <x:f>weather_data!E75-weather_data!D75</x:f>
        <x:v>-0.1999999999999993</x:v>
      </x:c>
      <x:c r="I75" s="10">
        <x:f>IF(OR(weather_data!H75="light rain",weather_data!H75="moderate rain",weather_data!H75="drizzle",weather_data!H75="thunderstorm"),1,0)</x:f>
        <x:v>0</x:v>
      </x:c>
      <x:c r="J75" s="10">
        <x:f>IF(weather_data!I75&gt;=25,1,0)</x:f>
        <x:v>0</x:v>
      </x:c>
    </x:row>
    <x:row r="76">
      <x:c r="A76" s="8">
        <x:f>weather_data!B76</x:f>
        <x:v>45832.65277777778</x:v>
      </x:c>
      <x:c r="B76" s="9">
        <x:f>INT(A76)</x:f>
        <x:v>45832</x:v>
      </x:c>
      <x:c r="C76" s="10" t="str">
        <x:f>TEXT(B76,"yyyy-mm")</x:f>
        <x:v>2025-06</x:v>
      </x:c>
      <x:c r="D76" s="10">
        <x:f>MONTH(B76)</x:f>
        <x:v>6</x:v>
      </x:c>
      <x:c r="E76" s="10" t="str">
        <x:f>TEXT(B76,"mmmm")</x:f>
        <x:v>June</x:v>
      </x:c>
      <x:c r="F76" s="10" t="str">
        <x:f>"Q"&amp;ROUNDUP(D76/3,0)</x:f>
        <x:v>Q2</x:v>
      </x:c>
      <x:c r="G76" s="10" t="str">
        <x:f>IF(OR(D76=12,D76&lt;=2),"Winter",IF(D76&lt;=5,"Spring",IF(D76&lt;=8,"Summer","Autumn")))</x:f>
        <x:v>Summer</x:v>
      </x:c>
      <x:c r="H76" s="11">
        <x:f>weather_data!E76-weather_data!D76</x:f>
        <x:v>0.5</x:v>
      </x:c>
      <x:c r="I76" s="10">
        <x:f>IF(OR(weather_data!H76="light rain",weather_data!H76="moderate rain",weather_data!H76="drizzle",weather_data!H76="thunderstorm"),1,0)</x:f>
        <x:v>0</x:v>
      </x:c>
      <x:c r="J76" s="10">
        <x:f>IF(weather_data!I76&gt;=25,1,0)</x:f>
        <x:v>0</x:v>
      </x:c>
    </x:row>
    <x:row r="77">
      <x:c r="A77" s="8">
        <x:f>weather_data!B77</x:f>
        <x:v>45833.42361111111</x:v>
      </x:c>
      <x:c r="B77" s="9">
        <x:f>INT(A77)</x:f>
        <x:v>45833</x:v>
      </x:c>
      <x:c r="C77" s="10" t="str">
        <x:f>TEXT(B77,"yyyy-mm")</x:f>
        <x:v>2025-06</x:v>
      </x:c>
      <x:c r="D77" s="10">
        <x:f>MONTH(B77)</x:f>
        <x:v>6</x:v>
      </x:c>
      <x:c r="E77" s="10" t="str">
        <x:f>TEXT(B77,"mmmm")</x:f>
        <x:v>June</x:v>
      </x:c>
      <x:c r="F77" s="10" t="str">
        <x:f>"Q"&amp;ROUNDUP(D77/3,0)</x:f>
        <x:v>Q2</x:v>
      </x:c>
      <x:c r="G77" s="10" t="str">
        <x:f>IF(OR(D77=12,D77&lt;=2),"Winter",IF(D77&lt;=5,"Spring",IF(D77&lt;=8,"Summer","Autumn")))</x:f>
        <x:v>Summer</x:v>
      </x:c>
      <x:c r="H77" s="11">
        <x:f>weather_data!E77-weather_data!D77</x:f>
        <x:v>0.1999999999999993</x:v>
      </x:c>
      <x:c r="I77" s="10">
        <x:f>IF(OR(weather_data!H77="light rain",weather_data!H77="moderate rain",weather_data!H77="drizzle",weather_data!H77="thunderstorm"),1,0)</x:f>
        <x:v>0</x:v>
      </x:c>
      <x:c r="J77" s="10">
        <x:f>IF(weather_data!I77&gt;=25,1,0)</x:f>
        <x:v>0</x:v>
      </x:c>
    </x:row>
    <x:row r="78">
      <x:c r="A78" s="8">
        <x:f>weather_data!B78</x:f>
        <x:v>45834.82638888889</x:v>
      </x:c>
      <x:c r="B78" s="9">
        <x:f>INT(A78)</x:f>
        <x:v>45834</x:v>
      </x:c>
      <x:c r="C78" s="10" t="str">
        <x:f>TEXT(B78,"yyyy-mm")</x:f>
        <x:v>2025-06</x:v>
      </x:c>
      <x:c r="D78" s="10">
        <x:f>MONTH(B78)</x:f>
        <x:v>6</x:v>
      </x:c>
      <x:c r="E78" s="10" t="str">
        <x:f>TEXT(B78,"mmmm")</x:f>
        <x:v>June</x:v>
      </x:c>
      <x:c r="F78" s="10" t="str">
        <x:f>"Q"&amp;ROUNDUP(D78/3,0)</x:f>
        <x:v>Q2</x:v>
      </x:c>
      <x:c r="G78" s="10" t="str">
        <x:f>IF(OR(D78=12,D78&lt;=2),"Winter",IF(D78&lt;=5,"Spring",IF(D78&lt;=8,"Summer","Autumn")))</x:f>
        <x:v>Summer</x:v>
      </x:c>
      <x:c r="H78" s="11">
        <x:f>weather_data!E78-weather_data!D78</x:f>
        <x:v>0.6999999999999993</x:v>
      </x:c>
      <x:c r="I78" s="10">
        <x:f>IF(OR(weather_data!H78="light rain",weather_data!H78="moderate rain",weather_data!H78="drizzle",weather_data!H78="thunderstorm"),1,0)</x:f>
        <x:v>0</x:v>
      </x:c>
      <x:c r="J78" s="10">
        <x:f>IF(weather_data!I78&gt;=25,1,0)</x:f>
        <x:v>0</x:v>
      </x:c>
    </x:row>
    <x:row r="79">
      <x:c r="A79" s="8">
        <x:f>weather_data!B79</x:f>
        <x:v>45835.78472222222</x:v>
      </x:c>
      <x:c r="B79" s="9">
        <x:f>INT(A79)</x:f>
        <x:v>45835</x:v>
      </x:c>
      <x:c r="C79" s="10" t="str">
        <x:f>TEXT(B79,"yyyy-mm")</x:f>
        <x:v>2025-06</x:v>
      </x:c>
      <x:c r="D79" s="10">
        <x:f>MONTH(B79)</x:f>
        <x:v>6</x:v>
      </x:c>
      <x:c r="E79" s="10" t="str">
        <x:f>TEXT(B79,"mmmm")</x:f>
        <x:v>June</x:v>
      </x:c>
      <x:c r="F79" s="10" t="str">
        <x:f>"Q"&amp;ROUNDUP(D79/3,0)</x:f>
        <x:v>Q2</x:v>
      </x:c>
      <x:c r="G79" s="10" t="str">
        <x:f>IF(OR(D79=12,D79&lt;=2),"Winter",IF(D79&lt;=5,"Spring",IF(D79&lt;=8,"Summer","Autumn")))</x:f>
        <x:v>Summer</x:v>
      </x:c>
      <x:c r="H79" s="11">
        <x:f>weather_data!E79-weather_data!D79</x:f>
        <x:v>0.6000000000000014</x:v>
      </x:c>
      <x:c r="I79" s="10">
        <x:f>IF(OR(weather_data!H79="light rain",weather_data!H79="moderate rain",weather_data!H79="drizzle",weather_data!H79="thunderstorm"),1,0)</x:f>
        <x:v>1</x:v>
      </x:c>
      <x:c r="J79" s="10">
        <x:f>IF(weather_data!I79&gt;=25,1,0)</x:f>
        <x:v>1</x:v>
      </x:c>
    </x:row>
    <x:row r="80">
      <x:c r="A80" s="8">
        <x:f>weather_data!B80</x:f>
        <x:v>45836.48611111111</x:v>
      </x:c>
      <x:c r="B80" s="9">
        <x:f>INT(A80)</x:f>
        <x:v>45836</x:v>
      </x:c>
      <x:c r="C80" s="10" t="str">
        <x:f>TEXT(B80,"yyyy-mm")</x:f>
        <x:v>2025-06</x:v>
      </x:c>
      <x:c r="D80" s="10">
        <x:f>MONTH(B80)</x:f>
        <x:v>6</x:v>
      </x:c>
      <x:c r="E80" s="10" t="str">
        <x:f>TEXT(B80,"mmmm")</x:f>
        <x:v>June</x:v>
      </x:c>
      <x:c r="F80" s="10" t="str">
        <x:f>"Q"&amp;ROUNDUP(D80/3,0)</x:f>
        <x:v>Q2</x:v>
      </x:c>
      <x:c r="G80" s="10" t="str">
        <x:f>IF(OR(D80=12,D80&lt;=2),"Winter",IF(D80&lt;=5,"Spring",IF(D80&lt;=8,"Summer","Autumn")))</x:f>
        <x:v>Summer</x:v>
      </x:c>
      <x:c r="H80" s="11">
        <x:f>weather_data!E80-weather_data!D80</x:f>
        <x:v>-0.10000000000000142</x:v>
      </x:c>
      <x:c r="I80" s="10">
        <x:f>IF(OR(weather_data!H80="light rain",weather_data!H80="moderate rain",weather_data!H80="drizzle",weather_data!H80="thunderstorm"),1,0)</x:f>
        <x:v>1</x:v>
      </x:c>
      <x:c r="J80" s="10">
        <x:f>IF(weather_data!I80&gt;=25,1,0)</x:f>
        <x:v>0</x:v>
      </x:c>
    </x:row>
    <x:row r="81">
      <x:c r="A81" s="8">
        <x:f>weather_data!B81</x:f>
        <x:v>45837.64583333334</x:v>
      </x:c>
      <x:c r="B81" s="9">
        <x:f>INT(A81)</x:f>
        <x:v>45837</x:v>
      </x:c>
      <x:c r="C81" s="10" t="str">
        <x:f>TEXT(B81,"yyyy-mm")</x:f>
        <x:v>2025-06</x:v>
      </x:c>
      <x:c r="D81" s="10">
        <x:f>MONTH(B81)</x:f>
        <x:v>6</x:v>
      </x:c>
      <x:c r="E81" s="10" t="str">
        <x:f>TEXT(B81,"mmmm")</x:f>
        <x:v>June</x:v>
      </x:c>
      <x:c r="F81" s="10" t="str">
        <x:f>"Q"&amp;ROUNDUP(D81/3,0)</x:f>
        <x:v>Q2</x:v>
      </x:c>
      <x:c r="G81" s="10" t="str">
        <x:f>IF(OR(D81=12,D81&lt;=2),"Winter",IF(D81&lt;=5,"Spring",IF(D81&lt;=8,"Summer","Autumn")))</x:f>
        <x:v>Summer</x:v>
      </x:c>
      <x:c r="H81" s="11">
        <x:f>weather_data!E81-weather_data!D81</x:f>
        <x:v>-0.8999999999999986</x:v>
      </x:c>
      <x:c r="I81" s="10">
        <x:f>IF(OR(weather_data!H81="light rain",weather_data!H81="moderate rain",weather_data!H81="drizzle",weather_data!H81="thunderstorm"),1,0)</x:f>
        <x:v>0</x:v>
      </x:c>
      <x:c r="J81" s="10">
        <x:f>IF(weather_data!I81&gt;=25,1,0)</x:f>
        <x:v>0</x:v>
      </x:c>
    </x:row>
    <x:row r="82">
      <x:c r="A82" s="8">
        <x:f>weather_data!B82</x:f>
        <x:v>45838.26388888889</x:v>
      </x:c>
      <x:c r="B82" s="9">
        <x:f>INT(A82)</x:f>
        <x:v>45838</x:v>
      </x:c>
      <x:c r="C82" s="10" t="str">
        <x:f>TEXT(B82,"yyyy-mm")</x:f>
        <x:v>2025-06</x:v>
      </x:c>
      <x:c r="D82" s="10">
        <x:f>MONTH(B82)</x:f>
        <x:v>6</x:v>
      </x:c>
      <x:c r="E82" s="10" t="str">
        <x:f>TEXT(B82,"mmmm")</x:f>
        <x:v>June</x:v>
      </x:c>
      <x:c r="F82" s="10" t="str">
        <x:f>"Q"&amp;ROUNDUP(D82/3,0)</x:f>
        <x:v>Q2</x:v>
      </x:c>
      <x:c r="G82" s="10" t="str">
        <x:f>IF(OR(D82=12,D82&lt;=2),"Winter",IF(D82&lt;=5,"Spring",IF(D82&lt;=8,"Summer","Autumn")))</x:f>
        <x:v>Summer</x:v>
      </x:c>
      <x:c r="H82" s="11">
        <x:f>weather_data!E82-weather_data!D82</x:f>
        <x:v>0.5999999999999979</x:v>
      </x:c>
      <x:c r="I82" s="10">
        <x:f>IF(OR(weather_data!H82="light rain",weather_data!H82="moderate rain",weather_data!H82="drizzle",weather_data!H82="thunderstorm"),1,0)</x:f>
        <x:v>1</x:v>
      </x:c>
      <x:c r="J82" s="10">
        <x:f>IF(weather_data!I82&gt;=25,1,0)</x:f>
        <x:v>0</x:v>
      </x:c>
    </x:row>
    <x:row r="83">
      <x:c r="A83" s="8">
        <x:f>weather_data!B83</x:f>
        <x:v>45839.63194444445</x:v>
      </x:c>
      <x:c r="B83" s="9">
        <x:f>INT(A83)</x:f>
        <x:v>45839</x:v>
      </x:c>
      <x:c r="C83" s="10" t="str">
        <x:f>TEXT(B83,"yyyy-mm")</x:f>
        <x:v>2025-07</x:v>
      </x:c>
      <x:c r="D83" s="10">
        <x:f>MONTH(B83)</x:f>
        <x:v>7</x:v>
      </x:c>
      <x:c r="E83" s="10" t="str">
        <x:f>TEXT(B83,"mmmm")</x:f>
        <x:v>July</x:v>
      </x:c>
      <x:c r="F83" s="10" t="str">
        <x:f>"Q"&amp;ROUNDUP(D83/3,0)</x:f>
        <x:v>Q3</x:v>
      </x:c>
      <x:c r="G83" s="10" t="str">
        <x:f>IF(OR(D83=12,D83&lt;=2),"Winter",IF(D83&lt;=5,"Spring",IF(D83&lt;=8,"Summer","Autumn")))</x:f>
        <x:v>Summer</x:v>
      </x:c>
      <x:c r="H83" s="11">
        <x:f>weather_data!E83-weather_data!D83</x:f>
        <x:v>-0.5</x:v>
      </x:c>
      <x:c r="I83" s="10">
        <x:f>IF(OR(weather_data!H83="light rain",weather_data!H83="moderate rain",weather_data!H83="drizzle",weather_data!H83="thunderstorm"),1,0)</x:f>
        <x:v>0</x:v>
      </x:c>
      <x:c r="J83" s="10">
        <x:f>IF(weather_data!I83&gt;=25,1,0)</x:f>
        <x:v>0</x:v>
      </x:c>
    </x:row>
    <x:row r="84">
      <x:c r="A84" s="8">
        <x:f>weather_data!B84</x:f>
        <x:v>45840.81944444445</x:v>
      </x:c>
      <x:c r="B84" s="9">
        <x:f>INT(A84)</x:f>
        <x:v>45840</x:v>
      </x:c>
      <x:c r="C84" s="10" t="str">
        <x:f>TEXT(B84,"yyyy-mm")</x:f>
        <x:v>2025-07</x:v>
      </x:c>
      <x:c r="D84" s="10">
        <x:f>MONTH(B84)</x:f>
        <x:v>7</x:v>
      </x:c>
      <x:c r="E84" s="10" t="str">
        <x:f>TEXT(B84,"mmmm")</x:f>
        <x:v>July</x:v>
      </x:c>
      <x:c r="F84" s="10" t="str">
        <x:f>"Q"&amp;ROUNDUP(D84/3,0)</x:f>
        <x:v>Q3</x:v>
      </x:c>
      <x:c r="G84" s="10" t="str">
        <x:f>IF(OR(D84=12,D84&lt;=2),"Winter",IF(D84&lt;=5,"Spring",IF(D84&lt;=8,"Summer","Autumn")))</x:f>
        <x:v>Summer</x:v>
      </x:c>
      <x:c r="H84" s="11">
        <x:f>weather_data!E84-weather_data!D84</x:f>
        <x:v>1</x:v>
      </x:c>
      <x:c r="I84" s="10">
        <x:f>IF(OR(weather_data!H84="light rain",weather_data!H84="moderate rain",weather_data!H84="drizzle",weather_data!H84="thunderstorm"),1,0)</x:f>
        <x:v>0</x:v>
      </x:c>
      <x:c r="J84" s="10">
        <x:f>IF(weather_data!I84&gt;=25,1,0)</x:f>
        <x:v>0</x:v>
      </x:c>
    </x:row>
    <x:row r="85">
      <x:c r="A85" s="8">
        <x:f>weather_data!B85</x:f>
        <x:v>45841.6875</x:v>
      </x:c>
      <x:c r="B85" s="9">
        <x:f>INT(A85)</x:f>
        <x:v>45841</x:v>
      </x:c>
      <x:c r="C85" s="10" t="str">
        <x:f>TEXT(B85,"yyyy-mm")</x:f>
        <x:v>2025-07</x:v>
      </x:c>
      <x:c r="D85" s="10">
        <x:f>MONTH(B85)</x:f>
        <x:v>7</x:v>
      </x:c>
      <x:c r="E85" s="10" t="str">
        <x:f>TEXT(B85,"mmmm")</x:f>
        <x:v>July</x:v>
      </x:c>
      <x:c r="F85" s="10" t="str">
        <x:f>"Q"&amp;ROUNDUP(D85/3,0)</x:f>
        <x:v>Q3</x:v>
      </x:c>
      <x:c r="G85" s="10" t="str">
        <x:f>IF(OR(D85=12,D85&lt;=2),"Winter",IF(D85&lt;=5,"Spring",IF(D85&lt;=8,"Summer","Autumn")))</x:f>
        <x:v>Summer</x:v>
      </x:c>
      <x:c r="H85" s="11">
        <x:f>weather_data!E85-weather_data!D85</x:f>
        <x:v>0</x:v>
      </x:c>
      <x:c r="I85" s="10">
        <x:f>IF(OR(weather_data!H85="light rain",weather_data!H85="moderate rain",weather_data!H85="drizzle",weather_data!H85="thunderstorm"),1,0)</x:f>
        <x:v>0</x:v>
      </x:c>
      <x:c r="J85" s="10">
        <x:f>IF(weather_data!I85&gt;=25,1,0)</x:f>
        <x:v>0</x:v>
      </x:c>
    </x:row>
    <x:row r="86">
      <x:c r="A86" s="8">
        <x:f>weather_data!B86</x:f>
        <x:v>45842.85416666666</x:v>
      </x:c>
      <x:c r="B86" s="9">
        <x:f>INT(A86)</x:f>
        <x:v>45842</x:v>
      </x:c>
      <x:c r="C86" s="10" t="str">
        <x:f>TEXT(B86,"yyyy-mm")</x:f>
        <x:v>2025-07</x:v>
      </x:c>
      <x:c r="D86" s="10">
        <x:f>MONTH(B86)</x:f>
        <x:v>7</x:v>
      </x:c>
      <x:c r="E86" s="10" t="str">
        <x:f>TEXT(B86,"mmmm")</x:f>
        <x:v>July</x:v>
      </x:c>
      <x:c r="F86" s="10" t="str">
        <x:f>"Q"&amp;ROUNDUP(D86/3,0)</x:f>
        <x:v>Q3</x:v>
      </x:c>
      <x:c r="G86" s="10" t="str">
        <x:f>IF(OR(D86=12,D86&lt;=2),"Winter",IF(D86&lt;=5,"Spring",IF(D86&lt;=8,"Summer","Autumn")))</x:f>
        <x:v>Summer</x:v>
      </x:c>
      <x:c r="H86" s="11">
        <x:f>weather_data!E86-weather_data!D86</x:f>
        <x:v>-1.0999999999999979</x:v>
      </x:c>
      <x:c r="I86" s="10">
        <x:f>IF(OR(weather_data!H86="light rain",weather_data!H86="moderate rain",weather_data!H86="drizzle",weather_data!H86="thunderstorm"),1,0)</x:f>
        <x:v>1</x:v>
      </x:c>
      <x:c r="J86" s="10">
        <x:f>IF(weather_data!I86&gt;=25,1,0)</x:f>
        <x:v>0</x:v>
      </x:c>
    </x:row>
    <x:row r="87">
      <x:c r="A87" s="8">
        <x:f>weather_data!B87</x:f>
        <x:v>45843.52777777778</x:v>
      </x:c>
      <x:c r="B87" s="9">
        <x:f>INT(A87)</x:f>
        <x:v>45843</x:v>
      </x:c>
      <x:c r="C87" s="10" t="str">
        <x:f>TEXT(B87,"yyyy-mm")</x:f>
        <x:v>2025-07</x:v>
      </x:c>
      <x:c r="D87" s="10">
        <x:f>MONTH(B87)</x:f>
        <x:v>7</x:v>
      </x:c>
      <x:c r="E87" s="10" t="str">
        <x:f>TEXT(B87,"mmmm")</x:f>
        <x:v>July</x:v>
      </x:c>
      <x:c r="F87" s="10" t="str">
        <x:f>"Q"&amp;ROUNDUP(D87/3,0)</x:f>
        <x:v>Q3</x:v>
      </x:c>
      <x:c r="G87" s="10" t="str">
        <x:f>IF(OR(D87=12,D87&lt;=2),"Winter",IF(D87&lt;=5,"Spring",IF(D87&lt;=8,"Summer","Autumn")))</x:f>
        <x:v>Summer</x:v>
      </x:c>
      <x:c r="H87" s="11">
        <x:f>weather_data!E87-weather_data!D87</x:f>
        <x:v>0.09999999999999787</x:v>
      </x:c>
      <x:c r="I87" s="10">
        <x:f>IF(OR(weather_data!H87="light rain",weather_data!H87="moderate rain",weather_data!H87="drizzle",weather_data!H87="thunderstorm"),1,0)</x:f>
        <x:v>1</x:v>
      </x:c>
      <x:c r="J87" s="10">
        <x:f>IF(weather_data!I87&gt;=25,1,0)</x:f>
        <x:v>1</x:v>
      </x:c>
    </x:row>
    <x:row r="88">
      <x:c r="A88" s="8">
        <x:f>weather_data!B88</x:f>
        <x:v>45844.90972222222</x:v>
      </x:c>
      <x:c r="B88" s="9">
        <x:f>INT(A88)</x:f>
        <x:v>45844</x:v>
      </x:c>
      <x:c r="C88" s="10" t="str">
        <x:f>TEXT(B88,"yyyy-mm")</x:f>
        <x:v>2025-07</x:v>
      </x:c>
      <x:c r="D88" s="10">
        <x:f>MONTH(B88)</x:f>
        <x:v>7</x:v>
      </x:c>
      <x:c r="E88" s="10" t="str">
        <x:f>TEXT(B88,"mmmm")</x:f>
        <x:v>July</x:v>
      </x:c>
      <x:c r="F88" s="10" t="str">
        <x:f>"Q"&amp;ROUNDUP(D88/3,0)</x:f>
        <x:v>Q3</x:v>
      </x:c>
      <x:c r="G88" s="10" t="str">
        <x:f>IF(OR(D88=12,D88&lt;=2),"Winter",IF(D88&lt;=5,"Spring",IF(D88&lt;=8,"Summer","Autumn")))</x:f>
        <x:v>Summer</x:v>
      </x:c>
      <x:c r="H88" s="11">
        <x:f>weather_data!E88-weather_data!D88</x:f>
        <x:v>0.3000000000000007</x:v>
      </x:c>
      <x:c r="I88" s="10">
        <x:f>IF(OR(weather_data!H88="light rain",weather_data!H88="moderate rain",weather_data!H88="drizzle",weather_data!H88="thunderstorm"),1,0)</x:f>
        <x:v>0</x:v>
      </x:c>
      <x:c r="J88" s="10">
        <x:f>IF(weather_data!I88&gt;=25,1,0)</x:f>
        <x:v>0</x:v>
      </x:c>
    </x:row>
    <x:row r="89">
      <x:c r="A89" s="8">
        <x:f>weather_data!B89</x:f>
        <x:v>45845.49305555555</x:v>
      </x:c>
      <x:c r="B89" s="9">
        <x:f>INT(A89)</x:f>
        <x:v>45845</x:v>
      </x:c>
      <x:c r="C89" s="10" t="str">
        <x:f>TEXT(B89,"yyyy-mm")</x:f>
        <x:v>2025-07</x:v>
      </x:c>
      <x:c r="D89" s="10">
        <x:f>MONTH(B89)</x:f>
        <x:v>7</x:v>
      </x:c>
      <x:c r="E89" s="10" t="str">
        <x:f>TEXT(B89,"mmmm")</x:f>
        <x:v>July</x:v>
      </x:c>
      <x:c r="F89" s="10" t="str">
        <x:f>"Q"&amp;ROUNDUP(D89/3,0)</x:f>
        <x:v>Q3</x:v>
      </x:c>
      <x:c r="G89" s="10" t="str">
        <x:f>IF(OR(D89=12,D89&lt;=2),"Winter",IF(D89&lt;=5,"Spring",IF(D89&lt;=8,"Summer","Autumn")))</x:f>
        <x:v>Summer</x:v>
      </x:c>
      <x:c r="H89" s="11">
        <x:f>weather_data!E89-weather_data!D89</x:f>
        <x:v>0.3999999999999986</x:v>
      </x:c>
      <x:c r="I89" s="10">
        <x:f>IF(OR(weather_data!H89="light rain",weather_data!H89="moderate rain",weather_data!H89="drizzle",weather_data!H89="thunderstorm"),1,0)</x:f>
        <x:v>0</x:v>
      </x:c>
      <x:c r="J89" s="10">
        <x:f>IF(weather_data!I89&gt;=25,1,0)</x:f>
        <x:v>0</x:v>
      </x:c>
    </x:row>
    <x:row r="90">
      <x:c r="A90" s="8">
        <x:f>weather_data!B90</x:f>
        <x:v>45846.34722222222</x:v>
      </x:c>
      <x:c r="B90" s="9">
        <x:f>INT(A90)</x:f>
        <x:v>45846</x:v>
      </x:c>
      <x:c r="C90" s="10" t="str">
        <x:f>TEXT(B90,"yyyy-mm")</x:f>
        <x:v>2025-07</x:v>
      </x:c>
      <x:c r="D90" s="10">
        <x:f>MONTH(B90)</x:f>
        <x:v>7</x:v>
      </x:c>
      <x:c r="E90" s="10" t="str">
        <x:f>TEXT(B90,"mmmm")</x:f>
        <x:v>July</x:v>
      </x:c>
      <x:c r="F90" s="10" t="str">
        <x:f>"Q"&amp;ROUNDUP(D90/3,0)</x:f>
        <x:v>Q3</x:v>
      </x:c>
      <x:c r="G90" s="10" t="str">
        <x:f>IF(OR(D90=12,D90&lt;=2),"Winter",IF(D90&lt;=5,"Spring",IF(D90&lt;=8,"Summer","Autumn")))</x:f>
        <x:v>Summer</x:v>
      </x:c>
      <x:c r="H90" s="11">
        <x:f>weather_data!E90-weather_data!D90</x:f>
        <x:v>-0.6000000000000014</x:v>
      </x:c>
      <x:c r="I90" s="10">
        <x:f>IF(OR(weather_data!H90="light rain",weather_data!H90="moderate rain",weather_data!H90="drizzle",weather_data!H90="thunderstorm"),1,0)</x:f>
        <x:v>0</x:v>
      </x:c>
      <x:c r="J90" s="10">
        <x:f>IF(weather_data!I90&gt;=25,1,0)</x:f>
        <x:v>0</x:v>
      </x:c>
    </x:row>
    <x:row r="91">
      <x:c r="A91" s="8">
        <x:f>weather_data!B91</x:f>
        <x:v>45847.66666666666</x:v>
      </x:c>
      <x:c r="B91" s="9">
        <x:f>INT(A91)</x:f>
        <x:v>45847</x:v>
      </x:c>
      <x:c r="C91" s="10" t="str">
        <x:f>TEXT(B91,"yyyy-mm")</x:f>
        <x:v>2025-07</x:v>
      </x:c>
      <x:c r="D91" s="10">
        <x:f>MONTH(B91)</x:f>
        <x:v>7</x:v>
      </x:c>
      <x:c r="E91" s="10" t="str">
        <x:f>TEXT(B91,"mmmm")</x:f>
        <x:v>July</x:v>
      </x:c>
      <x:c r="F91" s="10" t="str">
        <x:f>"Q"&amp;ROUNDUP(D91/3,0)</x:f>
        <x:v>Q3</x:v>
      </x:c>
      <x:c r="G91" s="10" t="str">
        <x:f>IF(OR(D91=12,D91&lt;=2),"Winter",IF(D91&lt;=5,"Spring",IF(D91&lt;=8,"Summer","Autumn")))</x:f>
        <x:v>Summer</x:v>
      </x:c>
      <x:c r="H91" s="11">
        <x:f>weather_data!E91-weather_data!D91</x:f>
        <x:v>0.40000000000000213</x:v>
      </x:c>
      <x:c r="I91" s="10">
        <x:f>IF(OR(weather_data!H91="light rain",weather_data!H91="moderate rain",weather_data!H91="drizzle",weather_data!H91="thunderstorm"),1,0)</x:f>
        <x:v>0</x:v>
      </x:c>
      <x:c r="J91" s="10">
        <x:f>IF(weather_data!I91&gt;=25,1,0)</x:f>
        <x:v>0</x:v>
      </x:c>
    </x:row>
    <x:row r="92">
      <x:c r="A92" s="8">
        <x:f>weather_data!B92</x:f>
        <x:v>45848.57638888889</x:v>
      </x:c>
      <x:c r="B92" s="9">
        <x:f>INT(A92)</x:f>
        <x:v>45848</x:v>
      </x:c>
      <x:c r="C92" s="10" t="str">
        <x:f>TEXT(B92,"yyyy-mm")</x:f>
        <x:v>2025-07</x:v>
      </x:c>
      <x:c r="D92" s="10">
        <x:f>MONTH(B92)</x:f>
        <x:v>7</x:v>
      </x:c>
      <x:c r="E92" s="10" t="str">
        <x:f>TEXT(B92,"mmmm")</x:f>
        <x:v>July</x:v>
      </x:c>
      <x:c r="F92" s="10" t="str">
        <x:f>"Q"&amp;ROUNDUP(D92/3,0)</x:f>
        <x:v>Q3</x:v>
      </x:c>
      <x:c r="G92" s="10" t="str">
        <x:f>IF(OR(D92=12,D92&lt;=2),"Winter",IF(D92&lt;=5,"Spring",IF(D92&lt;=8,"Summer","Autumn")))</x:f>
        <x:v>Summer</x:v>
      </x:c>
      <x:c r="H92" s="11">
        <x:f>weather_data!E92-weather_data!D92</x:f>
        <x:v>-0.8000000000000007</x:v>
      </x:c>
      <x:c r="I92" s="10">
        <x:f>IF(OR(weather_data!H92="light rain",weather_data!H92="moderate rain",weather_data!H92="drizzle",weather_data!H92="thunderstorm"),1,0)</x:f>
        <x:v>0</x:v>
      </x:c>
      <x:c r="J92" s="10">
        <x:f>IF(weather_data!I92&gt;=25,1,0)</x:f>
        <x:v>0</x:v>
      </x:c>
    </x:row>
    <x:row r="93">
      <x:c r="A93" s="8">
        <x:f>weather_data!B93</x:f>
        <x:v>45849.63194444445</x:v>
      </x:c>
      <x:c r="B93" s="9">
        <x:f>INT(A93)</x:f>
        <x:v>45849</x:v>
      </x:c>
      <x:c r="C93" s="10" t="str">
        <x:f>TEXT(B93,"yyyy-mm")</x:f>
        <x:v>2025-07</x:v>
      </x:c>
      <x:c r="D93" s="10">
        <x:f>MONTH(B93)</x:f>
        <x:v>7</x:v>
      </x:c>
      <x:c r="E93" s="10" t="str">
        <x:f>TEXT(B93,"mmmm")</x:f>
        <x:v>July</x:v>
      </x:c>
      <x:c r="F93" s="10" t="str">
        <x:f>"Q"&amp;ROUNDUP(D93/3,0)</x:f>
        <x:v>Q3</x:v>
      </x:c>
      <x:c r="G93" s="10" t="str">
        <x:f>IF(OR(D93=12,D93&lt;=2),"Winter",IF(D93&lt;=5,"Spring",IF(D93&lt;=8,"Summer","Autumn")))</x:f>
        <x:v>Summer</x:v>
      </x:c>
      <x:c r="H93" s="11">
        <x:f>weather_data!E93-weather_data!D93</x:f>
        <x:v>0.5</x:v>
      </x:c>
      <x:c r="I93" s="10">
        <x:f>IF(OR(weather_data!H93="light rain",weather_data!H93="moderate rain",weather_data!H93="drizzle",weather_data!H93="thunderstorm"),1,0)</x:f>
        <x:v>0</x:v>
      </x:c>
      <x:c r="J93" s="10">
        <x:f>IF(weather_data!I93&gt;=25,1,0)</x:f>
        <x:v>0</x:v>
      </x:c>
    </x:row>
    <x:row r="94">
      <x:c r="A94" s="8">
        <x:f>weather_data!B94</x:f>
        <x:v>45850.50694444445</x:v>
      </x:c>
      <x:c r="B94" s="9">
        <x:f>INT(A94)</x:f>
        <x:v>45850</x:v>
      </x:c>
      <x:c r="C94" s="10" t="str">
        <x:f>TEXT(B94,"yyyy-mm")</x:f>
        <x:v>2025-07</x:v>
      </x:c>
      <x:c r="D94" s="10">
        <x:f>MONTH(B94)</x:f>
        <x:v>7</x:v>
      </x:c>
      <x:c r="E94" s="10" t="str">
        <x:f>TEXT(B94,"mmmm")</x:f>
        <x:v>July</x:v>
      </x:c>
      <x:c r="F94" s="10" t="str">
        <x:f>"Q"&amp;ROUNDUP(D94/3,0)</x:f>
        <x:v>Q3</x:v>
      </x:c>
      <x:c r="G94" s="10" t="str">
        <x:f>IF(OR(D94=12,D94&lt;=2),"Winter",IF(D94&lt;=5,"Spring",IF(D94&lt;=8,"Summer","Autumn")))</x:f>
        <x:v>Summer</x:v>
      </x:c>
      <x:c r="H94" s="11">
        <x:f>weather_data!E94-weather_data!D94</x:f>
        <x:v>-1</x:v>
      </x:c>
      <x:c r="I94" s="10">
        <x:f>IF(OR(weather_data!H94="light rain",weather_data!H94="moderate rain",weather_data!H94="drizzle",weather_data!H94="thunderstorm"),1,0)</x:f>
        <x:v>1</x:v>
      </x:c>
      <x:c r="J94" s="10">
        <x:f>IF(weather_data!I94&gt;=25,1,0)</x:f>
        <x:v>0</x:v>
      </x:c>
    </x:row>
    <x:row r="95">
      <x:c r="A95" s="8">
        <x:f>weather_data!B95</x:f>
        <x:v>45851.25</x:v>
      </x:c>
      <x:c r="B95" s="9">
        <x:f>INT(A95)</x:f>
        <x:v>45851</x:v>
      </x:c>
      <x:c r="C95" s="10" t="str">
        <x:f>TEXT(B95,"yyyy-mm")</x:f>
        <x:v>2025-07</x:v>
      </x:c>
      <x:c r="D95" s="10">
        <x:f>MONTH(B95)</x:f>
        <x:v>7</x:v>
      </x:c>
      <x:c r="E95" s="10" t="str">
        <x:f>TEXT(B95,"mmmm")</x:f>
        <x:v>July</x:v>
      </x:c>
      <x:c r="F95" s="10" t="str">
        <x:f>"Q"&amp;ROUNDUP(D95/3,0)</x:f>
        <x:v>Q3</x:v>
      </x:c>
      <x:c r="G95" s="10" t="str">
        <x:f>IF(OR(D95=12,D95&lt;=2),"Winter",IF(D95&lt;=5,"Spring",IF(D95&lt;=8,"Summer","Autumn")))</x:f>
        <x:v>Summer</x:v>
      </x:c>
      <x:c r="H95" s="11">
        <x:f>weather_data!E95-weather_data!D95</x:f>
        <x:v>-1.0999999999999979</x:v>
      </x:c>
      <x:c r="I95" s="10">
        <x:f>IF(OR(weather_data!H95="light rain",weather_data!H95="moderate rain",weather_data!H95="drizzle",weather_data!H95="thunderstorm"),1,0)</x:f>
        <x:v>0</x:v>
      </x:c>
      <x:c r="J95" s="10">
        <x:f>IF(weather_data!I95&gt;=25,1,0)</x:f>
        <x:v>1</x:v>
      </x:c>
    </x:row>
    <x:row r="96">
      <x:c r="A96" s="8">
        <x:f>weather_data!B96</x:f>
        <x:v>45852.5625</x:v>
      </x:c>
      <x:c r="B96" s="9">
        <x:f>INT(A96)</x:f>
        <x:v>45852</x:v>
      </x:c>
      <x:c r="C96" s="10" t="str">
        <x:f>TEXT(B96,"yyyy-mm")</x:f>
        <x:v>2025-07</x:v>
      </x:c>
      <x:c r="D96" s="10">
        <x:f>MONTH(B96)</x:f>
        <x:v>7</x:v>
      </x:c>
      <x:c r="E96" s="10" t="str">
        <x:f>TEXT(B96,"mmmm")</x:f>
        <x:v>July</x:v>
      </x:c>
      <x:c r="F96" s="10" t="str">
        <x:f>"Q"&amp;ROUNDUP(D96/3,0)</x:f>
        <x:v>Q3</x:v>
      </x:c>
      <x:c r="G96" s="10" t="str">
        <x:f>IF(OR(D96=12,D96&lt;=2),"Winter",IF(D96&lt;=5,"Spring",IF(D96&lt;=8,"Summer","Autumn")))</x:f>
        <x:v>Summer</x:v>
      </x:c>
      <x:c r="H96" s="11">
        <x:f>weather_data!E96-weather_data!D96</x:f>
        <x:v>-0.29999999999999716</x:v>
      </x:c>
      <x:c r="I96" s="10">
        <x:f>IF(OR(weather_data!H96="light rain",weather_data!H96="moderate rain",weather_data!H96="drizzle",weather_data!H96="thunderstorm"),1,0)</x:f>
        <x:v>1</x:v>
      </x:c>
      <x:c r="J96" s="10">
        <x:f>IF(weather_data!I96&gt;=25,1,0)</x:f>
        <x:v>0</x:v>
      </x:c>
    </x:row>
    <x:row r="97">
      <x:c r="A97" s="8">
        <x:f>weather_data!B97</x:f>
        <x:v>45853.35416666666</x:v>
      </x:c>
      <x:c r="B97" s="9">
        <x:f>INT(A97)</x:f>
        <x:v>45853</x:v>
      </x:c>
      <x:c r="C97" s="10" t="str">
        <x:f>TEXT(B97,"yyyy-mm")</x:f>
        <x:v>2025-07</x:v>
      </x:c>
      <x:c r="D97" s="10">
        <x:f>MONTH(B97)</x:f>
        <x:v>7</x:v>
      </x:c>
      <x:c r="E97" s="10" t="str">
        <x:f>TEXT(B97,"mmmm")</x:f>
        <x:v>July</x:v>
      </x:c>
      <x:c r="F97" s="10" t="str">
        <x:f>"Q"&amp;ROUNDUP(D97/3,0)</x:f>
        <x:v>Q3</x:v>
      </x:c>
      <x:c r="G97" s="10" t="str">
        <x:f>IF(OR(D97=12,D97&lt;=2),"Winter",IF(D97&lt;=5,"Spring",IF(D97&lt;=8,"Summer","Autumn")))</x:f>
        <x:v>Summer</x:v>
      </x:c>
      <x:c r="H97" s="11">
        <x:f>weather_data!E97-weather_data!D97</x:f>
        <x:v>0.6999999999999993</x:v>
      </x:c>
      <x:c r="I97" s="10">
        <x:f>IF(OR(weather_data!H97="light rain",weather_data!H97="moderate rain",weather_data!H97="drizzle",weather_data!H97="thunderstorm"),1,0)</x:f>
        <x:v>0</x:v>
      </x:c>
      <x:c r="J97" s="10">
        <x:f>IF(weather_data!I97&gt;=25,1,0)</x:f>
        <x:v>0</x:v>
      </x:c>
    </x:row>
    <x:row r="98">
      <x:c r="A98" s="8">
        <x:f>weather_data!B98</x:f>
        <x:v>45854.82638888889</x:v>
      </x:c>
      <x:c r="B98" s="9">
        <x:f>INT(A98)</x:f>
        <x:v>45854</x:v>
      </x:c>
      <x:c r="C98" s="10" t="str">
        <x:f>TEXT(B98,"yyyy-mm")</x:f>
        <x:v>2025-07</x:v>
      </x:c>
      <x:c r="D98" s="10">
        <x:f>MONTH(B98)</x:f>
        <x:v>7</x:v>
      </x:c>
      <x:c r="E98" s="10" t="str">
        <x:f>TEXT(B98,"mmmm")</x:f>
        <x:v>July</x:v>
      </x:c>
      <x:c r="F98" s="10" t="str">
        <x:f>"Q"&amp;ROUNDUP(D98/3,0)</x:f>
        <x:v>Q3</x:v>
      </x:c>
      <x:c r="G98" s="10" t="str">
        <x:f>IF(OR(D98=12,D98&lt;=2),"Winter",IF(D98&lt;=5,"Spring",IF(D98&lt;=8,"Summer","Autumn")))</x:f>
        <x:v>Summer</x:v>
      </x:c>
      <x:c r="H98" s="11">
        <x:f>weather_data!E98-weather_data!D98</x:f>
        <x:v>1.1999999999999993</x:v>
      </x:c>
      <x:c r="I98" s="10">
        <x:f>IF(OR(weather_data!H98="light rain",weather_data!H98="moderate rain",weather_data!H98="drizzle",weather_data!H98="thunderstorm"),1,0)</x:f>
        <x:v>0</x:v>
      </x:c>
      <x:c r="J98" s="10">
        <x:f>IF(weather_data!I98&gt;=25,1,0)</x:f>
        <x:v>0</x:v>
      </x:c>
    </x:row>
    <x:row r="99">
      <x:c r="A99" s="8">
        <x:f>weather_data!B99</x:f>
        <x:v>45855.53472222222</x:v>
      </x:c>
      <x:c r="B99" s="9">
        <x:f>INT(A99)</x:f>
        <x:v>45855</x:v>
      </x:c>
      <x:c r="C99" s="10" t="str">
        <x:f>TEXT(B99,"yyyy-mm")</x:f>
        <x:v>2025-07</x:v>
      </x:c>
      <x:c r="D99" s="10">
        <x:f>MONTH(B99)</x:f>
        <x:v>7</x:v>
      </x:c>
      <x:c r="E99" s="10" t="str">
        <x:f>TEXT(B99,"mmmm")</x:f>
        <x:v>July</x:v>
      </x:c>
      <x:c r="F99" s="10" t="str">
        <x:f>"Q"&amp;ROUNDUP(D99/3,0)</x:f>
        <x:v>Q3</x:v>
      </x:c>
      <x:c r="G99" s="10" t="str">
        <x:f>IF(OR(D99=12,D99&lt;=2),"Winter",IF(D99&lt;=5,"Spring",IF(D99&lt;=8,"Summer","Autumn")))</x:f>
        <x:v>Summer</x:v>
      </x:c>
      <x:c r="H99" s="11">
        <x:f>weather_data!E99-weather_data!D99</x:f>
        <x:v>0.5999999999999979</x:v>
      </x:c>
      <x:c r="I99" s="10">
        <x:f>IF(OR(weather_data!H99="light rain",weather_data!H99="moderate rain",weather_data!H99="drizzle",weather_data!H99="thunderstorm"),1,0)</x:f>
        <x:v>0</x:v>
      </x:c>
      <x:c r="J99" s="10">
        <x:f>IF(weather_data!I99&gt;=25,1,0)</x:f>
        <x:v>0</x:v>
      </x:c>
    </x:row>
    <x:row r="100">
      <x:c r="A100" s="8">
        <x:f>weather_data!B100</x:f>
        <x:v>45856.77083333334</x:v>
      </x:c>
      <x:c r="B100" s="9">
        <x:f>INT(A100)</x:f>
        <x:v>45856</x:v>
      </x:c>
      <x:c r="C100" s="10" t="str">
        <x:f>TEXT(B100,"yyyy-mm")</x:f>
        <x:v>2025-07</x:v>
      </x:c>
      <x:c r="D100" s="10">
        <x:f>MONTH(B100)</x:f>
        <x:v>7</x:v>
      </x:c>
      <x:c r="E100" s="10" t="str">
        <x:f>TEXT(B100,"mmmm")</x:f>
        <x:v>July</x:v>
      </x:c>
      <x:c r="F100" s="10" t="str">
        <x:f>"Q"&amp;ROUNDUP(D100/3,0)</x:f>
        <x:v>Q3</x:v>
      </x:c>
      <x:c r="G100" s="10" t="str">
        <x:f>IF(OR(D100=12,D100&lt;=2),"Winter",IF(D100&lt;=5,"Spring",IF(D100&lt;=8,"Summer","Autumn")))</x:f>
        <x:v>Summer</x:v>
      </x:c>
      <x:c r="H100" s="11">
        <x:f>weather_data!E100-weather_data!D100</x:f>
        <x:v>-0.9000000000000021</x:v>
      </x:c>
      <x:c r="I100" s="10">
        <x:f>IF(OR(weather_data!H100="light rain",weather_data!H100="moderate rain",weather_data!H100="drizzle",weather_data!H100="thunderstorm"),1,0)</x:f>
        <x:v>0</x:v>
      </x:c>
      <x:c r="J100" s="10">
        <x:f>IF(weather_data!I100&gt;=25,1,0)</x:f>
        <x:v>0</x:v>
      </x:c>
    </x:row>
    <x:row r="101">
      <x:c r="A101" s="8">
        <x:f>weather_data!B101</x:f>
        <x:v>45857.75694444445</x:v>
      </x:c>
      <x:c r="B101" s="9">
        <x:f>INT(A101)</x:f>
        <x:v>45857</x:v>
      </x:c>
      <x:c r="C101" s="10" t="str">
        <x:f>TEXT(B101,"yyyy-mm")</x:f>
        <x:v>2025-07</x:v>
      </x:c>
      <x:c r="D101" s="10">
        <x:f>MONTH(B101)</x:f>
        <x:v>7</x:v>
      </x:c>
      <x:c r="E101" s="10" t="str">
        <x:f>TEXT(B101,"mmmm")</x:f>
        <x:v>July</x:v>
      </x:c>
      <x:c r="F101" s="10" t="str">
        <x:f>"Q"&amp;ROUNDUP(D101/3,0)</x:f>
        <x:v>Q3</x:v>
      </x:c>
      <x:c r="G101" s="10" t="str">
        <x:f>IF(OR(D101=12,D101&lt;=2),"Winter",IF(D101&lt;=5,"Spring",IF(D101&lt;=8,"Summer","Autumn")))</x:f>
        <x:v>Summer</x:v>
      </x:c>
      <x:c r="H101" s="11">
        <x:f>weather_data!E101-weather_data!D101</x:f>
        <x:v>1.1999999999999993</x:v>
      </x:c>
      <x:c r="I101" s="10">
        <x:f>IF(OR(weather_data!H101="light rain",weather_data!H101="moderate rain",weather_data!H101="drizzle",weather_data!H101="thunderstorm"),1,0)</x:f>
        <x:v>0</x:v>
      </x:c>
      <x:c r="J101" s="10">
        <x:f>IF(weather_data!I101&gt;=25,1,0)</x:f>
        <x:v>0</x:v>
      </x:c>
    </x:row>
    <x:row r="102">
      <x:c r="A102" s="8">
        <x:f>weather_data!B102</x:f>
        <x:v>45858.45138888889</x:v>
      </x:c>
      <x:c r="B102" s="9">
        <x:f>INT(A102)</x:f>
        <x:v>45858</x:v>
      </x:c>
      <x:c r="C102" s="10" t="str">
        <x:f>TEXT(B102,"yyyy-mm")</x:f>
        <x:v>2025-07</x:v>
      </x:c>
      <x:c r="D102" s="10">
        <x:f>MONTH(B102)</x:f>
        <x:v>7</x:v>
      </x:c>
      <x:c r="E102" s="10" t="str">
        <x:f>TEXT(B102,"mmmm")</x:f>
        <x:v>July</x:v>
      </x:c>
      <x:c r="F102" s="10" t="str">
        <x:f>"Q"&amp;ROUNDUP(D102/3,0)</x:f>
        <x:v>Q3</x:v>
      </x:c>
      <x:c r="G102" s="10" t="str">
        <x:f>IF(OR(D102=12,D102&lt;=2),"Winter",IF(D102&lt;=5,"Spring",IF(D102&lt;=8,"Summer","Autumn")))</x:f>
        <x:v>Summer</x:v>
      </x:c>
      <x:c r="H102" s="11">
        <x:f>weather_data!E102-weather_data!D102</x:f>
        <x:v>-0.6000000000000014</x:v>
      </x:c>
      <x:c r="I102" s="10">
        <x:f>IF(OR(weather_data!H102="light rain",weather_data!H102="moderate rain",weather_data!H102="drizzle",weather_data!H102="thunderstorm"),1,0)</x:f>
        <x:v>0</x:v>
      </x:c>
      <x:c r="J102" s="10">
        <x:f>IF(weather_data!I102&gt;=25,1,0)</x:f>
        <x:v>0</x:v>
      </x:c>
    </x:row>
    <x:row r="103">
      <x:c r="A103" s="8">
        <x:f>weather_data!B103</x:f>
        <x:v>45860.25</x:v>
      </x:c>
      <x:c r="B103" s="9">
        <x:f>INT(A103)</x:f>
        <x:v>45860</x:v>
      </x:c>
      <x:c r="C103" s="10" t="str">
        <x:f>TEXT(B103,"yyyy-mm")</x:f>
        <x:v>2025-07</x:v>
      </x:c>
      <x:c r="D103" s="10">
        <x:f>MONTH(B103)</x:f>
        <x:v>7</x:v>
      </x:c>
      <x:c r="E103" s="10" t="str">
        <x:f>TEXT(B103,"mmmm")</x:f>
        <x:v>July</x:v>
      </x:c>
      <x:c r="F103" s="10" t="str">
        <x:f>"Q"&amp;ROUNDUP(D103/3,0)</x:f>
        <x:v>Q3</x:v>
      </x:c>
      <x:c r="G103" s="10" t="str">
        <x:f>IF(OR(D103=12,D103&lt;=2),"Winter",IF(D103&lt;=5,"Spring",IF(D103&lt;=8,"Summer","Autumn")))</x:f>
        <x:v>Summer</x:v>
      </x:c>
      <x:c r="H103" s="11">
        <x:f>weather_data!E103-weather_data!D103</x:f>
        <x:v>1</x:v>
      </x:c>
      <x:c r="I103" s="10">
        <x:f>IF(OR(weather_data!H103="light rain",weather_data!H103="moderate rain",weather_data!H103="drizzle",weather_data!H103="thunderstorm"),1,0)</x:f>
        <x:v>0</x:v>
      </x:c>
      <x:c r="J103" s="10">
        <x:f>IF(weather_data!I103&gt;=25,1,0)</x:f>
        <x:v>0</x:v>
      </x:c>
    </x:row>
    <x:row r="104">
      <x:c r="A104" s="8">
        <x:f>weather_data!B104</x:f>
        <x:v>45861.79861111111</x:v>
      </x:c>
      <x:c r="B104" s="9">
        <x:f>INT(A104)</x:f>
        <x:v>45861</x:v>
      </x:c>
      <x:c r="C104" s="10" t="str">
        <x:f>TEXT(B104,"yyyy-mm")</x:f>
        <x:v>2025-07</x:v>
      </x:c>
      <x:c r="D104" s="10">
        <x:f>MONTH(B104)</x:f>
        <x:v>7</x:v>
      </x:c>
      <x:c r="E104" s="10" t="str">
        <x:f>TEXT(B104,"mmmm")</x:f>
        <x:v>July</x:v>
      </x:c>
      <x:c r="F104" s="10" t="str">
        <x:f>"Q"&amp;ROUNDUP(D104/3,0)</x:f>
        <x:v>Q3</x:v>
      </x:c>
      <x:c r="G104" s="10" t="str">
        <x:f>IF(OR(D104=12,D104&lt;=2),"Winter",IF(D104&lt;=5,"Spring",IF(D104&lt;=8,"Summer","Autumn")))</x:f>
        <x:v>Summer</x:v>
      </x:c>
      <x:c r="H104" s="11">
        <x:f>weather_data!E104-weather_data!D104</x:f>
        <x:v>0</x:v>
      </x:c>
      <x:c r="I104" s="10">
        <x:f>IF(OR(weather_data!H104="light rain",weather_data!H104="moderate rain",weather_data!H104="drizzle",weather_data!H104="thunderstorm"),1,0)</x:f>
        <x:v>0</x:v>
      </x:c>
      <x:c r="J104" s="10">
        <x:f>IF(weather_data!I104&gt;=25,1,0)</x:f>
        <x:v>0</x:v>
      </x:c>
    </x:row>
    <x:row r="105">
      <x:c r="A105" s="8">
        <x:f>weather_data!B105</x:f>
        <x:v>45862.49305555555</x:v>
      </x:c>
      <x:c r="B105" s="9">
        <x:f>INT(A105)</x:f>
        <x:v>45862</x:v>
      </x:c>
      <x:c r="C105" s="10" t="str">
        <x:f>TEXT(B105,"yyyy-mm")</x:f>
        <x:v>2025-07</x:v>
      </x:c>
      <x:c r="D105" s="10">
        <x:f>MONTH(B105)</x:f>
        <x:v>7</x:v>
      </x:c>
      <x:c r="E105" s="10" t="str">
        <x:f>TEXT(B105,"mmmm")</x:f>
        <x:v>July</x:v>
      </x:c>
      <x:c r="F105" s="10" t="str">
        <x:f>"Q"&amp;ROUNDUP(D105/3,0)</x:f>
        <x:v>Q3</x:v>
      </x:c>
      <x:c r="G105" s="10" t="str">
        <x:f>IF(OR(D105=12,D105&lt;=2),"Winter",IF(D105&lt;=5,"Spring",IF(D105&lt;=8,"Summer","Autumn")))</x:f>
        <x:v>Summer</x:v>
      </x:c>
      <x:c r="H105" s="11">
        <x:f>weather_data!E105-weather_data!D105</x:f>
        <x:v>0.09999999999999787</x:v>
      </x:c>
      <x:c r="I105" s="10">
        <x:f>IF(OR(weather_data!H105="light rain",weather_data!H105="moderate rain",weather_data!H105="drizzle",weather_data!H105="thunderstorm"),1,0)</x:f>
        <x:v>0</x:v>
      </x:c>
      <x:c r="J105" s="10">
        <x:f>IF(weather_data!I105&gt;=25,1,0)</x:f>
        <x:v>0</x:v>
      </x:c>
    </x:row>
    <x:row r="106">
      <x:c r="A106" s="8">
        <x:f>weather_data!B106</x:f>
        <x:v>45863.83333333334</x:v>
      </x:c>
      <x:c r="B106" s="9">
        <x:f>INT(A106)</x:f>
        <x:v>45863</x:v>
      </x:c>
      <x:c r="C106" s="10" t="str">
        <x:f>TEXT(B106,"yyyy-mm")</x:f>
        <x:v>2025-07</x:v>
      </x:c>
      <x:c r="D106" s="10">
        <x:f>MONTH(B106)</x:f>
        <x:v>7</x:v>
      </x:c>
      <x:c r="E106" s="10" t="str">
        <x:f>TEXT(B106,"mmmm")</x:f>
        <x:v>July</x:v>
      </x:c>
      <x:c r="F106" s="10" t="str">
        <x:f>"Q"&amp;ROUNDUP(D106/3,0)</x:f>
        <x:v>Q3</x:v>
      </x:c>
      <x:c r="G106" s="10" t="str">
        <x:f>IF(OR(D106=12,D106&lt;=2),"Winter",IF(D106&lt;=5,"Spring",IF(D106&lt;=8,"Summer","Autumn")))</x:f>
        <x:v>Summer</x:v>
      </x:c>
      <x:c r="H106" s="11">
        <x:f>weather_data!E106-weather_data!D106</x:f>
        <x:v>-0.6999999999999993</x:v>
      </x:c>
      <x:c r="I106" s="10">
        <x:f>IF(OR(weather_data!H106="light rain",weather_data!H106="moderate rain",weather_data!H106="drizzle",weather_data!H106="thunderstorm"),1,0)</x:f>
        <x:v>0</x:v>
      </x:c>
      <x:c r="J106" s="10">
        <x:f>IF(weather_data!I106&gt;=25,1,0)</x:f>
        <x:v>0</x:v>
      </x:c>
    </x:row>
    <x:row r="107">
      <x:c r="A107" s="8">
        <x:f>weather_data!B107</x:f>
        <x:v>45864.54166666666</x:v>
      </x:c>
      <x:c r="B107" s="9">
        <x:f>INT(A107)</x:f>
        <x:v>45864</x:v>
      </x:c>
      <x:c r="C107" s="10" t="str">
        <x:f>TEXT(B107,"yyyy-mm")</x:f>
        <x:v>2025-07</x:v>
      </x:c>
      <x:c r="D107" s="10">
        <x:f>MONTH(B107)</x:f>
        <x:v>7</x:v>
      </x:c>
      <x:c r="E107" s="10" t="str">
        <x:f>TEXT(B107,"mmmm")</x:f>
        <x:v>July</x:v>
      </x:c>
      <x:c r="F107" s="10" t="str">
        <x:f>"Q"&amp;ROUNDUP(D107/3,0)</x:f>
        <x:v>Q3</x:v>
      </x:c>
      <x:c r="G107" s="10" t="str">
        <x:f>IF(OR(D107=12,D107&lt;=2),"Winter",IF(D107&lt;=5,"Spring",IF(D107&lt;=8,"Summer","Autumn")))</x:f>
        <x:v>Summer</x:v>
      </x:c>
      <x:c r="H107" s="11">
        <x:f>weather_data!E107-weather_data!D107</x:f>
        <x:v>0.40000000000000213</x:v>
      </x:c>
      <x:c r="I107" s="10">
        <x:f>IF(OR(weather_data!H107="light rain",weather_data!H107="moderate rain",weather_data!H107="drizzle",weather_data!H107="thunderstorm"),1,0)</x:f>
        <x:v>1</x:v>
      </x:c>
      <x:c r="J107" s="10">
        <x:f>IF(weather_data!I107&gt;=25,1,0)</x:f>
        <x:v>1</x:v>
      </x:c>
    </x:row>
    <x:row r="108">
      <x:c r="A108" s="8">
        <x:f>weather_data!B108</x:f>
        <x:v>45865.84027777778</x:v>
      </x:c>
      <x:c r="B108" s="9">
        <x:f>INT(A108)</x:f>
        <x:v>45865</x:v>
      </x:c>
      <x:c r="C108" s="10" t="str">
        <x:f>TEXT(B108,"yyyy-mm")</x:f>
        <x:v>2025-07</x:v>
      </x:c>
      <x:c r="D108" s="10">
        <x:f>MONTH(B108)</x:f>
        <x:v>7</x:v>
      </x:c>
      <x:c r="E108" s="10" t="str">
        <x:f>TEXT(B108,"mmmm")</x:f>
        <x:v>July</x:v>
      </x:c>
      <x:c r="F108" s="10" t="str">
        <x:f>"Q"&amp;ROUNDUP(D108/3,0)</x:f>
        <x:v>Q3</x:v>
      </x:c>
      <x:c r="G108" s="10" t="str">
        <x:f>IF(OR(D108=12,D108&lt;=2),"Winter",IF(D108&lt;=5,"Spring",IF(D108&lt;=8,"Summer","Autumn")))</x:f>
        <x:v>Summer</x:v>
      </x:c>
      <x:c r="H108" s="11">
        <x:f>weather_data!E108-weather_data!D108</x:f>
        <x:v>0.1999999999999993</x:v>
      </x:c>
      <x:c r="I108" s="10">
        <x:f>IF(OR(weather_data!H108="light rain",weather_data!H108="moderate rain",weather_data!H108="drizzle",weather_data!H108="thunderstorm"),1,0)</x:f>
        <x:v>0</x:v>
      </x:c>
      <x:c r="J108" s="10">
        <x:f>IF(weather_data!I108&gt;=25,1,0)</x:f>
        <x:v>0</x:v>
      </x:c>
    </x:row>
    <x:row r="109">
      <x:c r="A109" s="8">
        <x:f>weather_data!B109</x:f>
        <x:v>45866.86805555555</x:v>
      </x:c>
      <x:c r="B109" s="9">
        <x:f>INT(A109)</x:f>
        <x:v>45866</x:v>
      </x:c>
      <x:c r="C109" s="10" t="str">
        <x:f>TEXT(B109,"yyyy-mm")</x:f>
        <x:v>2025-07</x:v>
      </x:c>
      <x:c r="D109" s="10">
        <x:f>MONTH(B109)</x:f>
        <x:v>7</x:v>
      </x:c>
      <x:c r="E109" s="10" t="str">
        <x:f>TEXT(B109,"mmmm")</x:f>
        <x:v>July</x:v>
      </x:c>
      <x:c r="F109" s="10" t="str">
        <x:f>"Q"&amp;ROUNDUP(D109/3,0)</x:f>
        <x:v>Q3</x:v>
      </x:c>
      <x:c r="G109" s="10" t="str">
        <x:f>IF(OR(D109=12,D109&lt;=2),"Winter",IF(D109&lt;=5,"Spring",IF(D109&lt;=8,"Summer","Autumn")))</x:f>
        <x:v>Summer</x:v>
      </x:c>
      <x:c r="H109" s="11">
        <x:f>weather_data!E109-weather_data!D109</x:f>
        <x:v>0.5</x:v>
      </x:c>
      <x:c r="I109" s="10">
        <x:f>IF(OR(weather_data!H109="light rain",weather_data!H109="moderate rain",weather_data!H109="drizzle",weather_data!H109="thunderstorm"),1,0)</x:f>
        <x:v>0</x:v>
      </x:c>
      <x:c r="J109" s="10">
        <x:f>IF(weather_data!I109&gt;=25,1,0)</x:f>
        <x:v>0</x:v>
      </x:c>
    </x:row>
    <x:row r="110">
      <x:c r="A110" s="8">
        <x:f>weather_data!B110</x:f>
        <x:v>45868.6875</x:v>
      </x:c>
      <x:c r="B110" s="9">
        <x:f>INT(A110)</x:f>
        <x:v>45868</x:v>
      </x:c>
      <x:c r="C110" s="10" t="str">
        <x:f>TEXT(B110,"yyyy-mm")</x:f>
        <x:v>2025-07</x:v>
      </x:c>
      <x:c r="D110" s="10">
        <x:f>MONTH(B110)</x:f>
        <x:v>7</x:v>
      </x:c>
      <x:c r="E110" s="10" t="str">
        <x:f>TEXT(B110,"mmmm")</x:f>
        <x:v>July</x:v>
      </x:c>
      <x:c r="F110" s="10" t="str">
        <x:f>"Q"&amp;ROUNDUP(D110/3,0)</x:f>
        <x:v>Q3</x:v>
      </x:c>
      <x:c r="G110" s="10" t="str">
        <x:f>IF(OR(D110=12,D110&lt;=2),"Winter",IF(D110&lt;=5,"Spring",IF(D110&lt;=8,"Summer","Autumn")))</x:f>
        <x:v>Summer</x:v>
      </x:c>
      <x:c r="H110" s="11">
        <x:f>weather_data!E110-weather_data!D110</x:f>
        <x:v>0.3999999999999986</x:v>
      </x:c>
      <x:c r="I110" s="10">
        <x:f>IF(OR(weather_data!H110="light rain",weather_data!H110="moderate rain",weather_data!H110="drizzle",weather_data!H110="thunderstorm"),1,0)</x:f>
        <x:v>0</x:v>
      </x:c>
      <x:c r="J110" s="10">
        <x:f>IF(weather_data!I110&gt;=25,1,0)</x:f>
        <x:v>0</x:v>
      </x:c>
    </x:row>
    <x:row r="111">
      <x:c r="A111" s="8">
        <x:f>weather_data!B111</x:f>
        <x:v>45869.81944444445</x:v>
      </x:c>
      <x:c r="B111" s="9">
        <x:f>INT(A111)</x:f>
        <x:v>45869</x:v>
      </x:c>
      <x:c r="C111" s="10" t="str">
        <x:f>TEXT(B111,"yyyy-mm")</x:f>
        <x:v>2025-07</x:v>
      </x:c>
      <x:c r="D111" s="10">
        <x:f>MONTH(B111)</x:f>
        <x:v>7</x:v>
      </x:c>
      <x:c r="E111" s="10" t="str">
        <x:f>TEXT(B111,"mmmm")</x:f>
        <x:v>July</x:v>
      </x:c>
      <x:c r="F111" s="10" t="str">
        <x:f>"Q"&amp;ROUNDUP(D111/3,0)</x:f>
        <x:v>Q3</x:v>
      </x:c>
      <x:c r="G111" s="10" t="str">
        <x:f>IF(OR(D111=12,D111&lt;=2),"Winter",IF(D111&lt;=5,"Spring",IF(D111&lt;=8,"Summer","Autumn")))</x:f>
        <x:v>Summer</x:v>
      </x:c>
      <x:c r="H111" s="11">
        <x:f>weather_data!E111-weather_data!D111</x:f>
        <x:v>0.5999999999999979</x:v>
      </x:c>
      <x:c r="I111" s="10">
        <x:f>IF(OR(weather_data!H111="light rain",weather_data!H111="moderate rain",weather_data!H111="drizzle",weather_data!H111="thunderstorm"),1,0)</x:f>
        <x:v>0</x:v>
      </x:c>
      <x:c r="J111" s="10">
        <x:f>IF(weather_data!I111&gt;=25,1,0)</x:f>
        <x:v>0</x:v>
      </x:c>
    </x:row>
    <x:row r="112">
      <x:c r="A112" s="8">
        <x:f>weather_data!B112</x:f>
        <x:v>45870.84027777778</x:v>
      </x:c>
      <x:c r="B112" s="9">
        <x:f>INT(A112)</x:f>
        <x:v>45870</x:v>
      </x:c>
      <x:c r="C112" s="10" t="str">
        <x:f>TEXT(B112,"yyyy-mm")</x:f>
        <x:v>2025-08</x:v>
      </x:c>
      <x:c r="D112" s="10">
        <x:f>MONTH(B112)</x:f>
        <x:v>8</x:v>
      </x:c>
      <x:c r="E112" s="10" t="str">
        <x:f>TEXT(B112,"mmmm")</x:f>
        <x:v>August</x:v>
      </x:c>
      <x:c r="F112" s="10" t="str">
        <x:f>"Q"&amp;ROUNDUP(D112/3,0)</x:f>
        <x:v>Q3</x:v>
      </x:c>
      <x:c r="G112" s="10" t="str">
        <x:f>IF(OR(D112=12,D112&lt;=2),"Winter",IF(D112&lt;=5,"Spring",IF(D112&lt;=8,"Summer","Autumn")))</x:f>
        <x:v>Summer</x:v>
      </x:c>
      <x:c r="H112" s="11">
        <x:f>weather_data!E112-weather_data!D112</x:f>
        <x:v>0.6000000000000014</x:v>
      </x:c>
      <x:c r="I112" s="10">
        <x:f>IF(OR(weather_data!H112="light rain",weather_data!H112="moderate rain",weather_data!H112="drizzle",weather_data!H112="thunderstorm"),1,0)</x:f>
        <x:v>0</x:v>
      </x:c>
      <x:c r="J112" s="10">
        <x:f>IF(weather_data!I112&gt;=25,1,0)</x:f>
        <x:v>0</x:v>
      </x:c>
    </x:row>
    <x:row r="113">
      <x:c r="A113" s="8">
        <x:f>weather_data!B113</x:f>
        <x:v>45871.89583333334</x:v>
      </x:c>
      <x:c r="B113" s="9">
        <x:f>INT(A113)</x:f>
        <x:v>45871</x:v>
      </x:c>
      <x:c r="C113" s="10" t="str">
        <x:f>TEXT(B113,"yyyy-mm")</x:f>
        <x:v>2025-08</x:v>
      </x:c>
      <x:c r="D113" s="10">
        <x:f>MONTH(B113)</x:f>
        <x:v>8</x:v>
      </x:c>
      <x:c r="E113" s="10" t="str">
        <x:f>TEXT(B113,"mmmm")</x:f>
        <x:v>August</x:v>
      </x:c>
      <x:c r="F113" s="10" t="str">
        <x:f>"Q"&amp;ROUNDUP(D113/3,0)</x:f>
        <x:v>Q3</x:v>
      </x:c>
      <x:c r="G113" s="10" t="str">
        <x:f>IF(OR(D113=12,D113&lt;=2),"Winter",IF(D113&lt;=5,"Spring",IF(D113&lt;=8,"Summer","Autumn")))</x:f>
        <x:v>Summer</x:v>
      </x:c>
      <x:c r="H113" s="11">
        <x:f>weather_data!E113-weather_data!D113</x:f>
        <x:v>0.5</x:v>
      </x:c>
      <x:c r="I113" s="10">
        <x:f>IF(OR(weather_data!H113="light rain",weather_data!H113="moderate rain",weather_data!H113="drizzle",weather_data!H113="thunderstorm"),1,0)</x:f>
        <x:v>0</x:v>
      </x:c>
      <x:c r="J113" s="10">
        <x:f>IF(weather_data!I113&gt;=25,1,0)</x:f>
        <x:v>0</x:v>
      </x:c>
    </x:row>
    <x:row r="114">
      <x:c r="A114" s="8">
        <x:f>weather_data!B114</x:f>
        <x:v>45872.59027777778</x:v>
      </x:c>
      <x:c r="B114" s="9">
        <x:f>INT(A114)</x:f>
        <x:v>45872</x:v>
      </x:c>
      <x:c r="C114" s="10" t="str">
        <x:f>TEXT(B114,"yyyy-mm")</x:f>
        <x:v>2025-08</x:v>
      </x:c>
      <x:c r="D114" s="10">
        <x:f>MONTH(B114)</x:f>
        <x:v>8</x:v>
      </x:c>
      <x:c r="E114" s="10" t="str">
        <x:f>TEXT(B114,"mmmm")</x:f>
        <x:v>August</x:v>
      </x:c>
      <x:c r="F114" s="10" t="str">
        <x:f>"Q"&amp;ROUNDUP(D114/3,0)</x:f>
        <x:v>Q3</x:v>
      </x:c>
      <x:c r="G114" s="10" t="str">
        <x:f>IF(OR(D114=12,D114&lt;=2),"Winter",IF(D114&lt;=5,"Spring",IF(D114&lt;=8,"Summer","Autumn")))</x:f>
        <x:v>Summer</x:v>
      </x:c>
      <x:c r="H114" s="11">
        <x:f>weather_data!E114-weather_data!D114</x:f>
        <x:v>-0.8999999999999986</x:v>
      </x:c>
      <x:c r="I114" s="10">
        <x:f>IF(OR(weather_data!H114="light rain",weather_data!H114="moderate rain",weather_data!H114="drizzle",weather_data!H114="thunderstorm"),1,0)</x:f>
        <x:v>0</x:v>
      </x:c>
      <x:c r="J114" s="10">
        <x:f>IF(weather_data!I114&gt;=25,1,0)</x:f>
        <x:v>0</x:v>
      </x:c>
    </x:row>
    <x:row r="115">
      <x:c r="A115" s="8">
        <x:f>weather_data!B115</x:f>
        <x:v>45873.61111111111</x:v>
      </x:c>
      <x:c r="B115" s="9">
        <x:f>INT(A115)</x:f>
        <x:v>45873</x:v>
      </x:c>
      <x:c r="C115" s="10" t="str">
        <x:f>TEXT(B115,"yyyy-mm")</x:f>
        <x:v>2025-08</x:v>
      </x:c>
      <x:c r="D115" s="10">
        <x:f>MONTH(B115)</x:f>
        <x:v>8</x:v>
      </x:c>
      <x:c r="E115" s="10" t="str">
        <x:f>TEXT(B115,"mmmm")</x:f>
        <x:v>August</x:v>
      </x:c>
      <x:c r="F115" s="10" t="str">
        <x:f>"Q"&amp;ROUNDUP(D115/3,0)</x:f>
        <x:v>Q3</x:v>
      </x:c>
      <x:c r="G115" s="10" t="str">
        <x:f>IF(OR(D115=12,D115&lt;=2),"Winter",IF(D115&lt;=5,"Spring",IF(D115&lt;=8,"Summer","Autumn")))</x:f>
        <x:v>Summer</x:v>
      </x:c>
      <x:c r="H115" s="11">
        <x:f>weather_data!E115-weather_data!D115</x:f>
        <x:v>-0.8999999999999986</x:v>
      </x:c>
      <x:c r="I115" s="10">
        <x:f>IF(OR(weather_data!H115="light rain",weather_data!H115="moderate rain",weather_data!H115="drizzle",weather_data!H115="thunderstorm"),1,0)</x:f>
        <x:v>1</x:v>
      </x:c>
      <x:c r="J115" s="10">
        <x:f>IF(weather_data!I115&gt;=25,1,0)</x:f>
        <x:v>0</x:v>
      </x:c>
    </x:row>
    <x:row r="116">
      <x:c r="A116" s="8">
        <x:f>weather_data!B116</x:f>
        <x:v>45874.90972222222</x:v>
      </x:c>
      <x:c r="B116" s="9">
        <x:f>INT(A116)</x:f>
        <x:v>45874</x:v>
      </x:c>
      <x:c r="C116" s="10" t="str">
        <x:f>TEXT(B116,"yyyy-mm")</x:f>
        <x:v>2025-08</x:v>
      </x:c>
      <x:c r="D116" s="10">
        <x:f>MONTH(B116)</x:f>
        <x:v>8</x:v>
      </x:c>
      <x:c r="E116" s="10" t="str">
        <x:f>TEXT(B116,"mmmm")</x:f>
        <x:v>August</x:v>
      </x:c>
      <x:c r="F116" s="10" t="str">
        <x:f>"Q"&amp;ROUNDUP(D116/3,0)</x:f>
        <x:v>Q3</x:v>
      </x:c>
      <x:c r="G116" s="10" t="str">
        <x:f>IF(OR(D116=12,D116&lt;=2),"Winter",IF(D116&lt;=5,"Spring",IF(D116&lt;=8,"Summer","Autumn")))</x:f>
        <x:v>Summer</x:v>
      </x:c>
      <x:c r="H116" s="11">
        <x:f>weather_data!E116-weather_data!D116</x:f>
        <x:v>-0.8000000000000007</x:v>
      </x:c>
      <x:c r="I116" s="10">
        <x:f>IF(OR(weather_data!H116="light rain",weather_data!H116="moderate rain",weather_data!H116="drizzle",weather_data!H116="thunderstorm"),1,0)</x:f>
        <x:v>0</x:v>
      </x:c>
      <x:c r="J116" s="10">
        <x:f>IF(weather_data!I116&gt;=25,1,0)</x:f>
        <x:v>0</x:v>
      </x:c>
    </x:row>
    <x:row r="117">
      <x:c r="A117" s="8">
        <x:f>weather_data!B117</x:f>
        <x:v>45875.55555555555</x:v>
      </x:c>
      <x:c r="B117" s="9">
        <x:f>INT(A117)</x:f>
        <x:v>45875</x:v>
      </x:c>
      <x:c r="C117" s="10" t="str">
        <x:f>TEXT(B117,"yyyy-mm")</x:f>
        <x:v>2025-08</x:v>
      </x:c>
      <x:c r="D117" s="10">
        <x:f>MONTH(B117)</x:f>
        <x:v>8</x:v>
      </x:c>
      <x:c r="E117" s="10" t="str">
        <x:f>TEXT(B117,"mmmm")</x:f>
        <x:v>August</x:v>
      </x:c>
      <x:c r="F117" s="10" t="str">
        <x:f>"Q"&amp;ROUNDUP(D117/3,0)</x:f>
        <x:v>Q3</x:v>
      </x:c>
      <x:c r="G117" s="10" t="str">
        <x:f>IF(OR(D117=12,D117&lt;=2),"Winter",IF(D117&lt;=5,"Spring",IF(D117&lt;=8,"Summer","Autumn")))</x:f>
        <x:v>Summer</x:v>
      </x:c>
      <x:c r="H117" s="11">
        <x:f>weather_data!E117-weather_data!D117</x:f>
        <x:v>-0.5999999999999979</x:v>
      </x:c>
      <x:c r="I117" s="10">
        <x:f>IF(OR(weather_data!H117="light rain",weather_data!H117="moderate rain",weather_data!H117="drizzle",weather_data!H117="thunderstorm"),1,0)</x:f>
        <x:v>0</x:v>
      </x:c>
      <x:c r="J117" s="10">
        <x:f>IF(weather_data!I117&gt;=25,1,0)</x:f>
        <x:v>0</x:v>
      </x:c>
    </x:row>
    <x:row r="118">
      <x:c r="A118" s="8">
        <x:f>weather_data!B118</x:f>
        <x:v>45876.83333333334</x:v>
      </x:c>
      <x:c r="B118" s="9">
        <x:f>INT(A118)</x:f>
        <x:v>45876</x:v>
      </x:c>
      <x:c r="C118" s="10" t="str">
        <x:f>TEXT(B118,"yyyy-mm")</x:f>
        <x:v>2025-08</x:v>
      </x:c>
      <x:c r="D118" s="10">
        <x:f>MONTH(B118)</x:f>
        <x:v>8</x:v>
      </x:c>
      <x:c r="E118" s="10" t="str">
        <x:f>TEXT(B118,"mmmm")</x:f>
        <x:v>August</x:v>
      </x:c>
      <x:c r="F118" s="10" t="str">
        <x:f>"Q"&amp;ROUNDUP(D118/3,0)</x:f>
        <x:v>Q3</x:v>
      </x:c>
      <x:c r="G118" s="10" t="str">
        <x:f>IF(OR(D118=12,D118&lt;=2),"Winter",IF(D118&lt;=5,"Spring",IF(D118&lt;=8,"Summer","Autumn")))</x:f>
        <x:v>Summer</x:v>
      </x:c>
      <x:c r="H118" s="11">
        <x:f>weather_data!E118-weather_data!D118</x:f>
        <x:v>1.1000000000000014</x:v>
      </x:c>
      <x:c r="I118" s="10">
        <x:f>IF(OR(weather_data!H118="light rain",weather_data!H118="moderate rain",weather_data!H118="drizzle",weather_data!H118="thunderstorm"),1,0)</x:f>
        <x:v>1</x:v>
      </x:c>
      <x:c r="J118" s="10">
        <x:f>IF(weather_data!I118&gt;=25,1,0)</x:f>
        <x:v>0</x:v>
      </x:c>
    </x:row>
    <x:row r="119">
      <x:c r="A119" s="8">
        <x:f>weather_data!B119</x:f>
        <x:v>45877.63194444445</x:v>
      </x:c>
      <x:c r="B119" s="9">
        <x:f>INT(A119)</x:f>
        <x:v>45877</x:v>
      </x:c>
      <x:c r="C119" s="10" t="str">
        <x:f>TEXT(B119,"yyyy-mm")</x:f>
        <x:v>2025-08</x:v>
      </x:c>
      <x:c r="D119" s="10">
        <x:f>MONTH(B119)</x:f>
        <x:v>8</x:v>
      </x:c>
      <x:c r="E119" s="10" t="str">
        <x:f>TEXT(B119,"mmmm")</x:f>
        <x:v>August</x:v>
      </x:c>
      <x:c r="F119" s="10" t="str">
        <x:f>"Q"&amp;ROUNDUP(D119/3,0)</x:f>
        <x:v>Q3</x:v>
      </x:c>
      <x:c r="G119" s="10" t="str">
        <x:f>IF(OR(D119=12,D119&lt;=2),"Winter",IF(D119&lt;=5,"Spring",IF(D119&lt;=8,"Summer","Autumn")))</x:f>
        <x:v>Summer</x:v>
      </x:c>
      <x:c r="H119" s="11">
        <x:f>weather_data!E119-weather_data!D119</x:f>
        <x:v>-1.1000000000000014</x:v>
      </x:c>
      <x:c r="I119" s="10">
        <x:f>IF(OR(weather_data!H119="light rain",weather_data!H119="moderate rain",weather_data!H119="drizzle",weather_data!H119="thunderstorm"),1,0)</x:f>
        <x:v>0</x:v>
      </x:c>
      <x:c r="J119" s="10">
        <x:f>IF(weather_data!I119&gt;=25,1,0)</x:f>
        <x:v>0</x:v>
      </x:c>
    </x:row>
    <x:row r="120">
      <x:c r="A120" s="8">
        <x:f>weather_data!B120</x:f>
        <x:v>45878.59722222222</x:v>
      </x:c>
      <x:c r="B120" s="9">
        <x:f>INT(A120)</x:f>
        <x:v>45878</x:v>
      </x:c>
      <x:c r="C120" s="10" t="str">
        <x:f>TEXT(B120,"yyyy-mm")</x:f>
        <x:v>2025-08</x:v>
      </x:c>
      <x:c r="D120" s="10">
        <x:f>MONTH(B120)</x:f>
        <x:v>8</x:v>
      </x:c>
      <x:c r="E120" s="10" t="str">
        <x:f>TEXT(B120,"mmmm")</x:f>
        <x:v>August</x:v>
      </x:c>
      <x:c r="F120" s="10" t="str">
        <x:f>"Q"&amp;ROUNDUP(D120/3,0)</x:f>
        <x:v>Q3</x:v>
      </x:c>
      <x:c r="G120" s="10" t="str">
        <x:f>IF(OR(D120=12,D120&lt;=2),"Winter",IF(D120&lt;=5,"Spring",IF(D120&lt;=8,"Summer","Autumn")))</x:f>
        <x:v>Summer</x:v>
      </x:c>
      <x:c r="H120" s="11">
        <x:f>weather_data!E120-weather_data!D120</x:f>
        <x:v>0.3000000000000007</x:v>
      </x:c>
      <x:c r="I120" s="10">
        <x:f>IF(OR(weather_data!H120="light rain",weather_data!H120="moderate rain",weather_data!H120="drizzle",weather_data!H120="thunderstorm"),1,0)</x:f>
        <x:v>0</x:v>
      </x:c>
      <x:c r="J120" s="10">
        <x:f>IF(weather_data!I120&gt;=25,1,0)</x:f>
        <x:v>0</x:v>
      </x:c>
    </x:row>
    <x:row r="121">
      <x:c r="A121" s="8">
        <x:f>weather_data!B121</x:f>
        <x:v>45879.69444444445</x:v>
      </x:c>
      <x:c r="B121" s="9">
        <x:f>INT(A121)</x:f>
        <x:v>45879</x:v>
      </x:c>
      <x:c r="C121" s="10" t="str">
        <x:f>TEXT(B121,"yyyy-mm")</x:f>
        <x:v>2025-08</x:v>
      </x:c>
      <x:c r="D121" s="10">
        <x:f>MONTH(B121)</x:f>
        <x:v>8</x:v>
      </x:c>
      <x:c r="E121" s="10" t="str">
        <x:f>TEXT(B121,"mmmm")</x:f>
        <x:v>August</x:v>
      </x:c>
      <x:c r="F121" s="10" t="str">
        <x:f>"Q"&amp;ROUNDUP(D121/3,0)</x:f>
        <x:v>Q3</x:v>
      </x:c>
      <x:c r="G121" s="10" t="str">
        <x:f>IF(OR(D121=12,D121&lt;=2),"Winter",IF(D121&lt;=5,"Spring",IF(D121&lt;=8,"Summer","Autumn")))</x:f>
        <x:v>Summer</x:v>
      </x:c>
      <x:c r="H121" s="11">
        <x:f>weather_data!E121-weather_data!D121</x:f>
        <x:v>0.3999999999999986</x:v>
      </x:c>
      <x:c r="I121" s="10">
        <x:f>IF(OR(weather_data!H121="light rain",weather_data!H121="moderate rain",weather_data!H121="drizzle",weather_data!H121="thunderstorm"),1,0)</x:f>
        <x:v>0</x:v>
      </x:c>
      <x:c r="J121" s="10">
        <x:f>IF(weather_data!I121&gt;=25,1,0)</x:f>
        <x:v>0</x:v>
      </x:c>
    </x:row>
    <x:row r="122">
      <x:c r="A122" s="8">
        <x:f>weather_data!B122</x:f>
        <x:v>45880.34027777778</x:v>
      </x:c>
      <x:c r="B122" s="9">
        <x:f>INT(A122)</x:f>
        <x:v>45880</x:v>
      </x:c>
      <x:c r="C122" s="10" t="str">
        <x:f>TEXT(B122,"yyyy-mm")</x:f>
        <x:v>2025-08</x:v>
      </x:c>
      <x:c r="D122" s="10">
        <x:f>MONTH(B122)</x:f>
        <x:v>8</x:v>
      </x:c>
      <x:c r="E122" s="10" t="str">
        <x:f>TEXT(B122,"mmmm")</x:f>
        <x:v>August</x:v>
      </x:c>
      <x:c r="F122" s="10" t="str">
        <x:f>"Q"&amp;ROUNDUP(D122/3,0)</x:f>
        <x:v>Q3</x:v>
      </x:c>
      <x:c r="G122" s="10" t="str">
        <x:f>IF(OR(D122=12,D122&lt;=2),"Winter",IF(D122&lt;=5,"Spring",IF(D122&lt;=8,"Summer","Autumn")))</x:f>
        <x:v>Summer</x:v>
      </x:c>
      <x:c r="H122" s="11">
        <x:f>weather_data!E122-weather_data!D122</x:f>
        <x:v>0.10000000000000142</x:v>
      </x:c>
      <x:c r="I122" s="10">
        <x:f>IF(OR(weather_data!H122="light rain",weather_data!H122="moderate rain",weather_data!H122="drizzle",weather_data!H122="thunderstorm"),1,0)</x:f>
        <x:v>1</x:v>
      </x:c>
      <x:c r="J122" s="10">
        <x:f>IF(weather_data!I122&gt;=25,1,0)</x:f>
        <x:v>0</x:v>
      </x:c>
    </x:row>
    <x:row r="123">
      <x:c r="A123" s="8">
        <x:f>weather_data!B123</x:f>
        <x:v>45881.42361111111</x:v>
      </x:c>
      <x:c r="B123" s="9">
        <x:f>INT(A123)</x:f>
        <x:v>45881</x:v>
      </x:c>
      <x:c r="C123" s="10" t="str">
        <x:f>TEXT(B123,"yyyy-mm")</x:f>
        <x:v>2025-08</x:v>
      </x:c>
      <x:c r="D123" s="10">
        <x:f>MONTH(B123)</x:f>
        <x:v>8</x:v>
      </x:c>
      <x:c r="E123" s="10" t="str">
        <x:f>TEXT(B123,"mmmm")</x:f>
        <x:v>August</x:v>
      </x:c>
      <x:c r="F123" s="10" t="str">
        <x:f>"Q"&amp;ROUNDUP(D123/3,0)</x:f>
        <x:v>Q3</x:v>
      </x:c>
      <x:c r="G123" s="10" t="str">
        <x:f>IF(OR(D123=12,D123&lt;=2),"Winter",IF(D123&lt;=5,"Spring",IF(D123&lt;=8,"Summer","Autumn")))</x:f>
        <x:v>Summer</x:v>
      </x:c>
      <x:c r="H123" s="11">
        <x:f>weather_data!E123-weather_data!D123</x:f>
        <x:v>0.8000000000000007</x:v>
      </x:c>
      <x:c r="I123" s="10">
        <x:f>IF(OR(weather_data!H123="light rain",weather_data!H123="moderate rain",weather_data!H123="drizzle",weather_data!H123="thunderstorm"),1,0)</x:f>
        <x:v>0</x:v>
      </x:c>
      <x:c r="J123" s="10">
        <x:f>IF(weather_data!I123&gt;=25,1,0)</x:f>
        <x:v>0</x:v>
      </x:c>
    </x:row>
    <x:row r="124">
      <x:c r="A124" s="8">
        <x:f>weather_data!B124</x:f>
        <x:v>45882.78472222222</x:v>
      </x:c>
      <x:c r="B124" s="9">
        <x:f>INT(A124)</x:f>
        <x:v>45882</x:v>
      </x:c>
      <x:c r="C124" s="10" t="str">
        <x:f>TEXT(B124,"yyyy-mm")</x:f>
        <x:v>2025-08</x:v>
      </x:c>
      <x:c r="D124" s="10">
        <x:f>MONTH(B124)</x:f>
        <x:v>8</x:v>
      </x:c>
      <x:c r="E124" s="10" t="str">
        <x:f>TEXT(B124,"mmmm")</x:f>
        <x:v>August</x:v>
      </x:c>
      <x:c r="F124" s="10" t="str">
        <x:f>"Q"&amp;ROUNDUP(D124/3,0)</x:f>
        <x:v>Q3</x:v>
      </x:c>
      <x:c r="G124" s="10" t="str">
        <x:f>IF(OR(D124=12,D124&lt;=2),"Winter",IF(D124&lt;=5,"Spring",IF(D124&lt;=8,"Summer","Autumn")))</x:f>
        <x:v>Summer</x:v>
      </x:c>
      <x:c r="H124" s="11">
        <x:f>weather_data!E124-weather_data!D124</x:f>
        <x:v>0.6000000000000014</x:v>
      </x:c>
      <x:c r="I124" s="10">
        <x:f>IF(OR(weather_data!H124="light rain",weather_data!H124="moderate rain",weather_data!H124="drizzle",weather_data!H124="thunderstorm"),1,0)</x:f>
        <x:v>1</x:v>
      </x:c>
      <x:c r="J124" s="10">
        <x:f>IF(weather_data!I124&gt;=25,1,0)</x:f>
        <x:v>0</x:v>
      </x:c>
    </x:row>
    <x:row r="125">
      <x:c r="A125" s="8">
        <x:f>weather_data!B125</x:f>
        <x:v>45883.45138888889</x:v>
      </x:c>
      <x:c r="B125" s="9">
        <x:f>INT(A125)</x:f>
        <x:v>45883</x:v>
      </x:c>
      <x:c r="C125" s="10" t="str">
        <x:f>TEXT(B125,"yyyy-mm")</x:f>
        <x:v>2025-08</x:v>
      </x:c>
      <x:c r="D125" s="10">
        <x:f>MONTH(B125)</x:f>
        <x:v>8</x:v>
      </x:c>
      <x:c r="E125" s="10" t="str">
        <x:f>TEXT(B125,"mmmm")</x:f>
        <x:v>August</x:v>
      </x:c>
      <x:c r="F125" s="10" t="str">
        <x:f>"Q"&amp;ROUNDUP(D125/3,0)</x:f>
        <x:v>Q3</x:v>
      </x:c>
      <x:c r="G125" s="10" t="str">
        <x:f>IF(OR(D125=12,D125&lt;=2),"Winter",IF(D125&lt;=5,"Spring",IF(D125&lt;=8,"Summer","Autumn")))</x:f>
        <x:v>Summer</x:v>
      </x:c>
      <x:c r="H125" s="11">
        <x:f>weather_data!E125-weather_data!D125</x:f>
        <x:v>-0.10000000000000142</x:v>
      </x:c>
      <x:c r="I125" s="10">
        <x:f>IF(OR(weather_data!H125="light rain",weather_data!H125="moderate rain",weather_data!H125="drizzle",weather_data!H125="thunderstorm"),1,0)</x:f>
        <x:v>0</x:v>
      </x:c>
      <x:c r="J125" s="10">
        <x:f>IF(weather_data!I125&gt;=25,1,0)</x:f>
        <x:v>0</x:v>
      </x:c>
    </x:row>
    <x:row r="126">
      <x:c r="A126" s="8">
        <x:f>weather_data!B126</x:f>
        <x:v>45884.5</x:v>
      </x:c>
      <x:c r="B126" s="9">
        <x:f>INT(A126)</x:f>
        <x:v>45884</x:v>
      </x:c>
      <x:c r="C126" s="10" t="str">
        <x:f>TEXT(B126,"yyyy-mm")</x:f>
        <x:v>2025-08</x:v>
      </x:c>
      <x:c r="D126" s="10">
        <x:f>MONTH(B126)</x:f>
        <x:v>8</x:v>
      </x:c>
      <x:c r="E126" s="10" t="str">
        <x:f>TEXT(B126,"mmmm")</x:f>
        <x:v>August</x:v>
      </x:c>
      <x:c r="F126" s="10" t="str">
        <x:f>"Q"&amp;ROUNDUP(D126/3,0)</x:f>
        <x:v>Q3</x:v>
      </x:c>
      <x:c r="G126" s="10" t="str">
        <x:f>IF(OR(D126=12,D126&lt;=2),"Winter",IF(D126&lt;=5,"Spring",IF(D126&lt;=8,"Summer","Autumn")))</x:f>
        <x:v>Summer</x:v>
      </x:c>
      <x:c r="H126" s="11">
        <x:f>weather_data!E126-weather_data!D126</x:f>
        <x:v>-1</x:v>
      </x:c>
      <x:c r="I126" s="10">
        <x:f>IF(OR(weather_data!H126="light rain",weather_data!H126="moderate rain",weather_data!H126="drizzle",weather_data!H126="thunderstorm"),1,0)</x:f>
        <x:v>0</x:v>
      </x:c>
      <x:c r="J126" s="10">
        <x:f>IF(weather_data!I126&gt;=25,1,0)</x:f>
        <x:v>0</x:v>
      </x:c>
    </x:row>
    <x:row r="127">
      <x:c r="A127" s="8">
        <x:f>weather_data!B127</x:f>
        <x:v>45885.8125</x:v>
      </x:c>
      <x:c r="B127" s="9">
        <x:f>INT(A127)</x:f>
        <x:v>45885</x:v>
      </x:c>
      <x:c r="C127" s="10" t="str">
        <x:f>TEXT(B127,"yyyy-mm")</x:f>
        <x:v>2025-08</x:v>
      </x:c>
      <x:c r="D127" s="10">
        <x:f>MONTH(B127)</x:f>
        <x:v>8</x:v>
      </x:c>
      <x:c r="E127" s="10" t="str">
        <x:f>TEXT(B127,"mmmm")</x:f>
        <x:v>August</x:v>
      </x:c>
      <x:c r="F127" s="10" t="str">
        <x:f>"Q"&amp;ROUNDUP(D127/3,0)</x:f>
        <x:v>Q3</x:v>
      </x:c>
      <x:c r="G127" s="10" t="str">
        <x:f>IF(OR(D127=12,D127&lt;=2),"Winter",IF(D127&lt;=5,"Spring",IF(D127&lt;=8,"Summer","Autumn")))</x:f>
        <x:v>Summer</x:v>
      </x:c>
      <x:c r="H127" s="11">
        <x:f>weather_data!E127-weather_data!D127</x:f>
        <x:v>0.8000000000000007</x:v>
      </x:c>
      <x:c r="I127" s="10">
        <x:f>IF(OR(weather_data!H127="light rain",weather_data!H127="moderate rain",weather_data!H127="drizzle",weather_data!H127="thunderstorm"),1,0)</x:f>
        <x:v>0</x:v>
      </x:c>
      <x:c r="J127" s="10">
        <x:f>IF(weather_data!I127&gt;=25,1,0)</x:f>
        <x:v>0</x:v>
      </x:c>
    </x:row>
    <x:row r="128">
      <x:c r="A128" s="8">
        <x:f>weather_data!B128</x:f>
        <x:v>45886.69444444445</x:v>
      </x:c>
      <x:c r="B128" s="9">
        <x:f>INT(A128)</x:f>
        <x:v>45886</x:v>
      </x:c>
      <x:c r="C128" s="10" t="str">
        <x:f>TEXT(B128,"yyyy-mm")</x:f>
        <x:v>2025-08</x:v>
      </x:c>
      <x:c r="D128" s="10">
        <x:f>MONTH(B128)</x:f>
        <x:v>8</x:v>
      </x:c>
      <x:c r="E128" s="10" t="str">
        <x:f>TEXT(B128,"mmmm")</x:f>
        <x:v>August</x:v>
      </x:c>
      <x:c r="F128" s="10" t="str">
        <x:f>"Q"&amp;ROUNDUP(D128/3,0)</x:f>
        <x:v>Q3</x:v>
      </x:c>
      <x:c r="G128" s="10" t="str">
        <x:f>IF(OR(D128=12,D128&lt;=2),"Winter",IF(D128&lt;=5,"Spring",IF(D128&lt;=8,"Summer","Autumn")))</x:f>
        <x:v>Summer</x:v>
      </x:c>
      <x:c r="H128" s="11">
        <x:f>weather_data!E128-weather_data!D128</x:f>
        <x:v>-1</x:v>
      </x:c>
      <x:c r="I128" s="10">
        <x:f>IF(OR(weather_data!H128="light rain",weather_data!H128="moderate rain",weather_data!H128="drizzle",weather_data!H128="thunderstorm"),1,0)</x:f>
        <x:v>0</x:v>
      </x:c>
      <x:c r="J128" s="10">
        <x:f>IF(weather_data!I128&gt;=25,1,0)</x:f>
        <x:v>0</x:v>
      </x:c>
    </x:row>
    <x:row r="129">
      <x:c r="A129" s="8">
        <x:f>weather_data!B129</x:f>
        <x:v>45887.85416666666</x:v>
      </x:c>
      <x:c r="B129" s="9">
        <x:f>INT(A129)</x:f>
        <x:v>45887</x:v>
      </x:c>
      <x:c r="C129" s="10" t="str">
        <x:f>TEXT(B129,"yyyy-mm")</x:f>
        <x:v>2025-08</x:v>
      </x:c>
      <x:c r="D129" s="10">
        <x:f>MONTH(B129)</x:f>
        <x:v>8</x:v>
      </x:c>
      <x:c r="E129" s="10" t="str">
        <x:f>TEXT(B129,"mmmm")</x:f>
        <x:v>August</x:v>
      </x:c>
      <x:c r="F129" s="10" t="str">
        <x:f>"Q"&amp;ROUNDUP(D129/3,0)</x:f>
        <x:v>Q3</x:v>
      </x:c>
      <x:c r="G129" s="10" t="str">
        <x:f>IF(OR(D129=12,D129&lt;=2),"Winter",IF(D129&lt;=5,"Spring",IF(D129&lt;=8,"Summer","Autumn")))</x:f>
        <x:v>Summer</x:v>
      </x:c>
      <x:c r="H129" s="11">
        <x:f>weather_data!E129-weather_data!D129</x:f>
        <x:v>1.1000000000000014</x:v>
      </x:c>
      <x:c r="I129" s="10">
        <x:f>IF(OR(weather_data!H129="light rain",weather_data!H129="moderate rain",weather_data!H129="drizzle",weather_data!H129="thunderstorm"),1,0)</x:f>
        <x:v>0</x:v>
      </x:c>
      <x:c r="J129" s="10">
        <x:f>IF(weather_data!I129&gt;=25,1,0)</x:f>
        <x:v>0</x:v>
      </x:c>
    </x:row>
    <x:row r="130">
      <x:c r="A130" s="8">
        <x:f>weather_data!B130</x:f>
        <x:v>45888.29861111111</x:v>
      </x:c>
      <x:c r="B130" s="9">
        <x:f>INT(A130)</x:f>
        <x:v>45888</x:v>
      </x:c>
      <x:c r="C130" s="10" t="str">
        <x:f>TEXT(B130,"yyyy-mm")</x:f>
        <x:v>2025-08</x:v>
      </x:c>
      <x:c r="D130" s="10">
        <x:f>MONTH(B130)</x:f>
        <x:v>8</x:v>
      </x:c>
      <x:c r="E130" s="10" t="str">
        <x:f>TEXT(B130,"mmmm")</x:f>
        <x:v>August</x:v>
      </x:c>
      <x:c r="F130" s="10" t="str">
        <x:f>"Q"&amp;ROUNDUP(D130/3,0)</x:f>
        <x:v>Q3</x:v>
      </x:c>
      <x:c r="G130" s="10" t="str">
        <x:f>IF(OR(D130=12,D130&lt;=2),"Winter",IF(D130&lt;=5,"Spring",IF(D130&lt;=8,"Summer","Autumn")))</x:f>
        <x:v>Summer</x:v>
      </x:c>
      <x:c r="H130" s="11">
        <x:f>weather_data!E130-weather_data!D130</x:f>
        <x:v>0.5</x:v>
      </x:c>
      <x:c r="I130" s="10">
        <x:f>IF(OR(weather_data!H130="light rain",weather_data!H130="moderate rain",weather_data!H130="drizzle",weather_data!H130="thunderstorm"),1,0)</x:f>
        <x:v>1</x:v>
      </x:c>
      <x:c r="J130" s="10">
        <x:f>IF(weather_data!I130&gt;=25,1,0)</x:f>
        <x:v>0</x:v>
      </x:c>
    </x:row>
    <x:row r="131">
      <x:c r="A131" s="8">
        <x:f>weather_data!B131</x:f>
        <x:v>45889.8125</x:v>
      </x:c>
      <x:c r="B131" s="9">
        <x:f>INT(A131)</x:f>
        <x:v>45889</x:v>
      </x:c>
      <x:c r="C131" s="10" t="str">
        <x:f>TEXT(B131,"yyyy-mm")</x:f>
        <x:v>2025-08</x:v>
      </x:c>
      <x:c r="D131" s="10">
        <x:f>MONTH(B131)</x:f>
        <x:v>8</x:v>
      </x:c>
      <x:c r="E131" s="10" t="str">
        <x:f>TEXT(B131,"mmmm")</x:f>
        <x:v>August</x:v>
      </x:c>
      <x:c r="F131" s="10" t="str">
        <x:f>"Q"&amp;ROUNDUP(D131/3,0)</x:f>
        <x:v>Q3</x:v>
      </x:c>
      <x:c r="G131" s="10" t="str">
        <x:f>IF(OR(D131=12,D131&lt;=2),"Winter",IF(D131&lt;=5,"Spring",IF(D131&lt;=8,"Summer","Autumn")))</x:f>
        <x:v>Summer</x:v>
      </x:c>
      <x:c r="H131" s="11">
        <x:f>weather_data!E131-weather_data!D131</x:f>
        <x:v>1.5</x:v>
      </x:c>
      <x:c r="I131" s="10">
        <x:f>IF(OR(weather_data!H131="light rain",weather_data!H131="moderate rain",weather_data!H131="drizzle",weather_data!H131="thunderstorm"),1,0)</x:f>
        <x:v>0</x:v>
      </x:c>
      <x:c r="J131" s="10">
        <x:f>IF(weather_data!I131&gt;=25,1,0)</x:f>
        <x:v>0</x:v>
      </x:c>
    </x:row>
    <x:row r="132">
      <x:c r="A132" s="8">
        <x:f>weather_data!B132</x:f>
        <x:v>45890.27777777778</x:v>
      </x:c>
      <x:c r="B132" s="9">
        <x:f>INT(A132)</x:f>
        <x:v>45890</x:v>
      </x:c>
      <x:c r="C132" s="10" t="str">
        <x:f>TEXT(B132,"yyyy-mm")</x:f>
        <x:v>2025-08</x:v>
      </x:c>
      <x:c r="D132" s="10">
        <x:f>MONTH(B132)</x:f>
        <x:v>8</x:v>
      </x:c>
      <x:c r="E132" s="10" t="str">
        <x:f>TEXT(B132,"mmmm")</x:f>
        <x:v>August</x:v>
      </x:c>
      <x:c r="F132" s="10" t="str">
        <x:f>"Q"&amp;ROUNDUP(D132/3,0)</x:f>
        <x:v>Q3</x:v>
      </x:c>
      <x:c r="G132" s="10" t="str">
        <x:f>IF(OR(D132=12,D132&lt;=2),"Winter",IF(D132&lt;=5,"Spring",IF(D132&lt;=8,"Summer","Autumn")))</x:f>
        <x:v>Summer</x:v>
      </x:c>
      <x:c r="H132" s="11">
        <x:f>weather_data!E132-weather_data!D132</x:f>
        <x:v>0.3000000000000007</x:v>
      </x:c>
      <x:c r="I132" s="10">
        <x:f>IF(OR(weather_data!H132="light rain",weather_data!H132="moderate rain",weather_data!H132="drizzle",weather_data!H132="thunderstorm"),1,0)</x:f>
        <x:v>0</x:v>
      </x:c>
      <x:c r="J132" s="10">
        <x:f>IF(weather_data!I132&gt;=25,1,0)</x:f>
        <x:v>0</x:v>
      </x:c>
    </x:row>
    <x:row r="133">
      <x:c r="A133" s="8">
        <x:f>weather_data!B133</x:f>
        <x:v>45891.77083333334</x:v>
      </x:c>
      <x:c r="B133" s="9">
        <x:f>INT(A133)</x:f>
        <x:v>45891</x:v>
      </x:c>
      <x:c r="C133" s="10" t="str">
        <x:f>TEXT(B133,"yyyy-mm")</x:f>
        <x:v>2025-08</x:v>
      </x:c>
      <x:c r="D133" s="10">
        <x:f>MONTH(B133)</x:f>
        <x:v>8</x:v>
      </x:c>
      <x:c r="E133" s="10" t="str">
        <x:f>TEXT(B133,"mmmm")</x:f>
        <x:v>August</x:v>
      </x:c>
      <x:c r="F133" s="10" t="str">
        <x:f>"Q"&amp;ROUNDUP(D133/3,0)</x:f>
        <x:v>Q3</x:v>
      </x:c>
      <x:c r="G133" s="10" t="str">
        <x:f>IF(OR(D133=12,D133&lt;=2),"Winter",IF(D133&lt;=5,"Spring",IF(D133&lt;=8,"Summer","Autumn")))</x:f>
        <x:v>Summer</x:v>
      </x:c>
      <x:c r="H133" s="11">
        <x:f>weather_data!E133-weather_data!D133</x:f>
        <x:v>-0.6999999999999993</x:v>
      </x:c>
      <x:c r="I133" s="10">
        <x:f>IF(OR(weather_data!H133="light rain",weather_data!H133="moderate rain",weather_data!H133="drizzle",weather_data!H133="thunderstorm"),1,0)</x:f>
        <x:v>0</x:v>
      </x:c>
      <x:c r="J133" s="10">
        <x:f>IF(weather_data!I133&gt;=25,1,0)</x:f>
        <x:v>1</x:v>
      </x:c>
    </x:row>
    <x:row r="134">
      <x:c r="A134" s="8">
        <x:f>weather_data!B134</x:f>
        <x:v>45892.26388888889</x:v>
      </x:c>
      <x:c r="B134" s="9">
        <x:f>INT(A134)</x:f>
        <x:v>45892</x:v>
      </x:c>
      <x:c r="C134" s="10" t="str">
        <x:f>TEXT(B134,"yyyy-mm")</x:f>
        <x:v>2025-08</x:v>
      </x:c>
      <x:c r="D134" s="10">
        <x:f>MONTH(B134)</x:f>
        <x:v>8</x:v>
      </x:c>
      <x:c r="E134" s="10" t="str">
        <x:f>TEXT(B134,"mmmm")</x:f>
        <x:v>August</x:v>
      </x:c>
      <x:c r="F134" s="10" t="str">
        <x:f>"Q"&amp;ROUNDUP(D134/3,0)</x:f>
        <x:v>Q3</x:v>
      </x:c>
      <x:c r="G134" s="10" t="str">
        <x:f>IF(OR(D134=12,D134&lt;=2),"Winter",IF(D134&lt;=5,"Spring",IF(D134&lt;=8,"Summer","Autumn")))</x:f>
        <x:v>Summer</x:v>
      </x:c>
      <x:c r="H134" s="11">
        <x:f>weather_data!E134-weather_data!D134</x:f>
        <x:v>1.1000000000000014</x:v>
      </x:c>
      <x:c r="I134" s="10">
        <x:f>IF(OR(weather_data!H134="light rain",weather_data!H134="moderate rain",weather_data!H134="drizzle",weather_data!H134="thunderstorm"),1,0)</x:f>
        <x:v>1</x:v>
      </x:c>
      <x:c r="J134" s="10">
        <x:f>IF(weather_data!I134&gt;=25,1,0)</x:f>
        <x:v>0</x:v>
      </x:c>
    </x:row>
    <x:row r="135">
      <x:c r="A135" s="8">
        <x:f>weather_data!B135</x:f>
        <x:v>45893.64583333334</x:v>
      </x:c>
      <x:c r="B135" s="9">
        <x:f>INT(A135)</x:f>
        <x:v>45893</x:v>
      </x:c>
      <x:c r="C135" s="10" t="str">
        <x:f>TEXT(B135,"yyyy-mm")</x:f>
        <x:v>2025-08</x:v>
      </x:c>
      <x:c r="D135" s="10">
        <x:f>MONTH(B135)</x:f>
        <x:v>8</x:v>
      </x:c>
      <x:c r="E135" s="10" t="str">
        <x:f>TEXT(B135,"mmmm")</x:f>
        <x:v>August</x:v>
      </x:c>
      <x:c r="F135" s="10" t="str">
        <x:f>"Q"&amp;ROUNDUP(D135/3,0)</x:f>
        <x:v>Q3</x:v>
      </x:c>
      <x:c r="G135" s="10" t="str">
        <x:f>IF(OR(D135=12,D135&lt;=2),"Winter",IF(D135&lt;=5,"Spring",IF(D135&lt;=8,"Summer","Autumn")))</x:f>
        <x:v>Summer</x:v>
      </x:c>
      <x:c r="H135" s="11">
        <x:f>weather_data!E135-weather_data!D135</x:f>
        <x:v>0.6999999999999993</x:v>
      </x:c>
      <x:c r="I135" s="10">
        <x:f>IF(OR(weather_data!H135="light rain",weather_data!H135="moderate rain",weather_data!H135="drizzle",weather_data!H135="thunderstorm"),1,0)</x:f>
        <x:v>0</x:v>
      </x:c>
      <x:c r="J135" s="10">
        <x:f>IF(weather_data!I135&gt;=25,1,0)</x:f>
        <x:v>0</x:v>
      </x:c>
    </x:row>
    <x:row r="136">
      <x:c r="A136" s="8">
        <x:f>weather_data!B136</x:f>
        <x:v>45894.81944444445</x:v>
      </x:c>
      <x:c r="B136" s="9">
        <x:f>INT(A136)</x:f>
        <x:v>45894</x:v>
      </x:c>
      <x:c r="C136" s="10" t="str">
        <x:f>TEXT(B136,"yyyy-mm")</x:f>
        <x:v>2025-08</x:v>
      </x:c>
      <x:c r="D136" s="10">
        <x:f>MONTH(B136)</x:f>
        <x:v>8</x:v>
      </x:c>
      <x:c r="E136" s="10" t="str">
        <x:f>TEXT(B136,"mmmm")</x:f>
        <x:v>August</x:v>
      </x:c>
      <x:c r="F136" s="10" t="str">
        <x:f>"Q"&amp;ROUNDUP(D136/3,0)</x:f>
        <x:v>Q3</x:v>
      </x:c>
      <x:c r="G136" s="10" t="str">
        <x:f>IF(OR(D136=12,D136&lt;=2),"Winter",IF(D136&lt;=5,"Spring",IF(D136&lt;=8,"Summer","Autumn")))</x:f>
        <x:v>Summer</x:v>
      </x:c>
      <x:c r="H136" s="11">
        <x:f>weather_data!E136-weather_data!D136</x:f>
        <x:v>-1</x:v>
      </x:c>
      <x:c r="I136" s="10">
        <x:f>IF(OR(weather_data!H136="light rain",weather_data!H136="moderate rain",weather_data!H136="drizzle",weather_data!H136="thunderstorm"),1,0)</x:f>
        <x:v>0</x:v>
      </x:c>
      <x:c r="J136" s="10">
        <x:f>IF(weather_data!I136&gt;=25,1,0)</x:f>
        <x:v>0</x:v>
      </x:c>
    </x:row>
    <x:row r="137">
      <x:c r="A137" s="8">
        <x:f>weather_data!B137</x:f>
        <x:v>45895.5625</x:v>
      </x:c>
      <x:c r="B137" s="9">
        <x:f>INT(A137)</x:f>
        <x:v>45895</x:v>
      </x:c>
      <x:c r="C137" s="10" t="str">
        <x:f>TEXT(B137,"yyyy-mm")</x:f>
        <x:v>2025-08</x:v>
      </x:c>
      <x:c r="D137" s="10">
        <x:f>MONTH(B137)</x:f>
        <x:v>8</x:v>
      </x:c>
      <x:c r="E137" s="10" t="str">
        <x:f>TEXT(B137,"mmmm")</x:f>
        <x:v>August</x:v>
      </x:c>
      <x:c r="F137" s="10" t="str">
        <x:f>"Q"&amp;ROUNDUP(D137/3,0)</x:f>
        <x:v>Q3</x:v>
      </x:c>
      <x:c r="G137" s="10" t="str">
        <x:f>IF(OR(D137=12,D137&lt;=2),"Winter",IF(D137&lt;=5,"Spring",IF(D137&lt;=8,"Summer","Autumn")))</x:f>
        <x:v>Summer</x:v>
      </x:c>
      <x:c r="H137" s="11">
        <x:f>weather_data!E137-weather_data!D137</x:f>
        <x:v>-0.5999999999999979</x:v>
      </x:c>
      <x:c r="I137" s="10">
        <x:f>IF(OR(weather_data!H137="light rain",weather_data!H137="moderate rain",weather_data!H137="drizzle",weather_data!H137="thunderstorm"),1,0)</x:f>
        <x:v>0</x:v>
      </x:c>
      <x:c r="J137" s="10">
        <x:f>IF(weather_data!I137&gt;=25,1,0)</x:f>
        <x:v>0</x:v>
      </x:c>
    </x:row>
    <x:row r="138">
      <x:c r="A138" s="8">
        <x:f>weather_data!B138</x:f>
        <x:v>45896.55555555555</x:v>
      </x:c>
      <x:c r="B138" s="9">
        <x:f>INT(A138)</x:f>
        <x:v>45896</x:v>
      </x:c>
      <x:c r="C138" s="10" t="str">
        <x:f>TEXT(B138,"yyyy-mm")</x:f>
        <x:v>2025-08</x:v>
      </x:c>
      <x:c r="D138" s="10">
        <x:f>MONTH(B138)</x:f>
        <x:v>8</x:v>
      </x:c>
      <x:c r="E138" s="10" t="str">
        <x:f>TEXT(B138,"mmmm")</x:f>
        <x:v>August</x:v>
      </x:c>
      <x:c r="F138" s="10" t="str">
        <x:f>"Q"&amp;ROUNDUP(D138/3,0)</x:f>
        <x:v>Q3</x:v>
      </x:c>
      <x:c r="G138" s="10" t="str">
        <x:f>IF(OR(D138=12,D138&lt;=2),"Winter",IF(D138&lt;=5,"Spring",IF(D138&lt;=8,"Summer","Autumn")))</x:f>
        <x:v>Summer</x:v>
      </x:c>
      <x:c r="H138" s="11">
        <x:f>weather_data!E138-weather_data!D138</x:f>
        <x:v>0.3000000000000007</x:v>
      </x:c>
      <x:c r="I138" s="10">
        <x:f>IF(OR(weather_data!H138="light rain",weather_data!H138="moderate rain",weather_data!H138="drizzle",weather_data!H138="thunderstorm"),1,0)</x:f>
        <x:v>0</x:v>
      </x:c>
      <x:c r="J138" s="10">
        <x:f>IF(weather_data!I138&gt;=25,1,0)</x:f>
        <x:v>0</x:v>
      </x:c>
    </x:row>
    <x:row r="139">
      <x:c r="A139" s="8">
        <x:f>weather_data!B139</x:f>
        <x:v>45897.8125</x:v>
      </x:c>
      <x:c r="B139" s="9">
        <x:f>INT(A139)</x:f>
        <x:v>45897</x:v>
      </x:c>
      <x:c r="C139" s="10" t="str">
        <x:f>TEXT(B139,"yyyy-mm")</x:f>
        <x:v>2025-08</x:v>
      </x:c>
      <x:c r="D139" s="10">
        <x:f>MONTH(B139)</x:f>
        <x:v>8</x:v>
      </x:c>
      <x:c r="E139" s="10" t="str">
        <x:f>TEXT(B139,"mmmm")</x:f>
        <x:v>August</x:v>
      </x:c>
      <x:c r="F139" s="10" t="str">
        <x:f>"Q"&amp;ROUNDUP(D139/3,0)</x:f>
        <x:v>Q3</x:v>
      </x:c>
      <x:c r="G139" s="10" t="str">
        <x:f>IF(OR(D139=12,D139&lt;=2),"Winter",IF(D139&lt;=5,"Spring",IF(D139&lt;=8,"Summer","Autumn")))</x:f>
        <x:v>Summer</x:v>
      </x:c>
      <x:c r="H139" s="11">
        <x:f>weather_data!E139-weather_data!D139</x:f>
        <x:v>0.8999999999999986</x:v>
      </x:c>
      <x:c r="I139" s="10">
        <x:f>IF(OR(weather_data!H139="light rain",weather_data!H139="moderate rain",weather_data!H139="drizzle",weather_data!H139="thunderstorm"),1,0)</x:f>
        <x:v>1</x:v>
      </x:c>
      <x:c r="J139" s="10">
        <x:f>IF(weather_data!I139&gt;=25,1,0)</x:f>
        <x:v>0</x:v>
      </x:c>
    </x:row>
    <x:row r="140">
      <x:c r="A140" s="8">
        <x:f>weather_data!B140</x:f>
        <x:v>45898.27083333334</x:v>
      </x:c>
      <x:c r="B140" s="9">
        <x:f>INT(A140)</x:f>
        <x:v>45898</x:v>
      </x:c>
      <x:c r="C140" s="10" t="str">
        <x:f>TEXT(B140,"yyyy-mm")</x:f>
        <x:v>2025-08</x:v>
      </x:c>
      <x:c r="D140" s="10">
        <x:f>MONTH(B140)</x:f>
        <x:v>8</x:v>
      </x:c>
      <x:c r="E140" s="10" t="str">
        <x:f>TEXT(B140,"mmmm")</x:f>
        <x:v>August</x:v>
      </x:c>
      <x:c r="F140" s="10" t="str">
        <x:f>"Q"&amp;ROUNDUP(D140/3,0)</x:f>
        <x:v>Q3</x:v>
      </x:c>
      <x:c r="G140" s="10" t="str">
        <x:f>IF(OR(D140=12,D140&lt;=2),"Winter",IF(D140&lt;=5,"Spring",IF(D140&lt;=8,"Summer","Autumn")))</x:f>
        <x:v>Summer</x:v>
      </x:c>
      <x:c r="H140" s="11">
        <x:f>weather_data!E140-weather_data!D140</x:f>
        <x:v>0.3000000000000007</x:v>
      </x:c>
      <x:c r="I140" s="10">
        <x:f>IF(OR(weather_data!H140="light rain",weather_data!H140="moderate rain",weather_data!H140="drizzle",weather_data!H140="thunderstorm"),1,0)</x:f>
        <x:v>0</x:v>
      </x:c>
      <x:c r="J140" s="10">
        <x:f>IF(weather_data!I140&gt;=25,1,0)</x:f>
        <x:v>0</x:v>
      </x:c>
    </x:row>
    <x:row r="141">
      <x:c r="A141" s="8">
        <x:f>weather_data!B141</x:f>
        <x:v>45899.70138888889</x:v>
      </x:c>
      <x:c r="B141" s="9">
        <x:f>INT(A141)</x:f>
        <x:v>45899</x:v>
      </x:c>
      <x:c r="C141" s="10" t="str">
        <x:f>TEXT(B141,"yyyy-mm")</x:f>
        <x:v>2025-08</x:v>
      </x:c>
      <x:c r="D141" s="10">
        <x:f>MONTH(B141)</x:f>
        <x:v>8</x:v>
      </x:c>
      <x:c r="E141" s="10" t="str">
        <x:f>TEXT(B141,"mmmm")</x:f>
        <x:v>August</x:v>
      </x:c>
      <x:c r="F141" s="10" t="str">
        <x:f>"Q"&amp;ROUNDUP(D141/3,0)</x:f>
        <x:v>Q3</x:v>
      </x:c>
      <x:c r="G141" s="10" t="str">
        <x:f>IF(OR(D141=12,D141&lt;=2),"Winter",IF(D141&lt;=5,"Spring",IF(D141&lt;=8,"Summer","Autumn")))</x:f>
        <x:v>Summer</x:v>
      </x:c>
      <x:c r="H141" s="11">
        <x:f>weather_data!E141-weather_data!D141</x:f>
        <x:v>-0.10000000000000142</x:v>
      </x:c>
      <x:c r="I141" s="10">
        <x:f>IF(OR(weather_data!H141="light rain",weather_data!H141="moderate rain",weather_data!H141="drizzle",weather_data!H141="thunderstorm"),1,0)</x:f>
        <x:v>0</x:v>
      </x:c>
      <x:c r="J141" s="10">
        <x:f>IF(weather_data!I141&gt;=25,1,0)</x:f>
        <x:v>0</x:v>
      </x:c>
    </x:row>
    <x:row r="142">
      <x:c r="A142" s="8">
        <x:f>weather_data!B142</x:f>
        <x:v>45900.78472222222</x:v>
      </x:c>
      <x:c r="B142" s="9">
        <x:f>INT(A142)</x:f>
        <x:v>45900</x:v>
      </x:c>
      <x:c r="C142" s="10" t="str">
        <x:f>TEXT(B142,"yyyy-mm")</x:f>
        <x:v>2025-08</x:v>
      </x:c>
      <x:c r="D142" s="10">
        <x:f>MONTH(B142)</x:f>
        <x:v>8</x:v>
      </x:c>
      <x:c r="E142" s="10" t="str">
        <x:f>TEXT(B142,"mmmm")</x:f>
        <x:v>August</x:v>
      </x:c>
      <x:c r="F142" s="10" t="str">
        <x:f>"Q"&amp;ROUNDUP(D142/3,0)</x:f>
        <x:v>Q3</x:v>
      </x:c>
      <x:c r="G142" s="10" t="str">
        <x:f>IF(OR(D142=12,D142&lt;=2),"Winter",IF(D142&lt;=5,"Spring",IF(D142&lt;=8,"Summer","Autumn")))</x:f>
        <x:v>Summer</x:v>
      </x:c>
      <x:c r="H142" s="11">
        <x:f>weather_data!E142-weather_data!D142</x:f>
        <x:v>2.599999999999998</x:v>
      </x:c>
      <x:c r="I142" s="10">
        <x:f>IF(OR(weather_data!H142="light rain",weather_data!H142="moderate rain",weather_data!H142="drizzle",weather_data!H142="thunderstorm"),1,0)</x:f>
        <x:v>1</x:v>
      </x:c>
      <x:c r="J142" s="10">
        <x:f>IF(weather_data!I142&gt;=25,1,0)</x:f>
        <x:v>0</x:v>
      </x:c>
    </x:row>
    <x:row r="143">
      <x:c r="A143" s="8">
        <x:f>weather_data!B143</x:f>
        <x:v>45901.47916666666</x:v>
      </x:c>
      <x:c r="B143" s="9">
        <x:f>INT(A143)</x:f>
        <x:v>45901</x:v>
      </x:c>
      <x:c r="C143" s="10" t="str">
        <x:f>TEXT(B143,"yyyy-mm")</x:f>
        <x:v>2025-09</x:v>
      </x:c>
      <x:c r="D143" s="10">
        <x:f>MONTH(B143)</x:f>
        <x:v>9</x:v>
      </x:c>
      <x:c r="E143" s="10" t="str">
        <x:f>TEXT(B143,"mmmm")</x:f>
        <x:v>September</x:v>
      </x:c>
      <x:c r="F143" s="10" t="str">
        <x:f>"Q"&amp;ROUNDUP(D143/3,0)</x:f>
        <x:v>Q3</x:v>
      </x:c>
      <x:c r="G143" s="10" t="str">
        <x:f>IF(OR(D143=12,D143&lt;=2),"Winter",IF(D143&lt;=5,"Spring",IF(D143&lt;=8,"Summer","Autumn")))</x:f>
        <x:v>Autumn</x:v>
      </x:c>
      <x:c r="H143" s="11">
        <x:f>weather_data!E143-weather_data!D143</x:f>
        <x:v>0.20000000000000284</x:v>
      </x:c>
      <x:c r="I143" s="10">
        <x:f>IF(OR(weather_data!H143="light rain",weather_data!H143="moderate rain",weather_data!H143="drizzle",weather_data!H143="thunderstorm"),1,0)</x:f>
        <x:v>0</x:v>
      </x:c>
      <x:c r="J143" s="10">
        <x:f>IF(weather_data!I143&gt;=25,1,0)</x:f>
        <x:v>0</x:v>
      </x:c>
    </x:row>
    <x:row r="144">
      <x:c r="A144" s="8">
        <x:f>weather_data!B144</x:f>
        <x:v>45902.44444444445</x:v>
      </x:c>
      <x:c r="B144" s="9">
        <x:f>INT(A144)</x:f>
        <x:v>45902</x:v>
      </x:c>
      <x:c r="C144" s="10" t="str">
        <x:f>TEXT(B144,"yyyy-mm")</x:f>
        <x:v>2025-09</x:v>
      </x:c>
      <x:c r="D144" s="10">
        <x:f>MONTH(B144)</x:f>
        <x:v>9</x:v>
      </x:c>
      <x:c r="E144" s="10" t="str">
        <x:f>TEXT(B144,"mmmm")</x:f>
        <x:v>September</x:v>
      </x:c>
      <x:c r="F144" s="10" t="str">
        <x:f>"Q"&amp;ROUNDUP(D144/3,0)</x:f>
        <x:v>Q3</x:v>
      </x:c>
      <x:c r="G144" s="10" t="str">
        <x:f>IF(OR(D144=12,D144&lt;=2),"Winter",IF(D144&lt;=5,"Spring",IF(D144&lt;=8,"Summer","Autumn")))</x:f>
        <x:v>Autumn</x:v>
      </x:c>
      <x:c r="H144" s="11">
        <x:f>weather_data!E144-weather_data!D144</x:f>
        <x:v>0.5</x:v>
      </x:c>
      <x:c r="I144" s="10">
        <x:f>IF(OR(weather_data!H144="light rain",weather_data!H144="moderate rain",weather_data!H144="drizzle",weather_data!H144="thunderstorm"),1,0)</x:f>
        <x:v>0</x:v>
      </x:c>
      <x:c r="J144" s="10">
        <x:f>IF(weather_data!I144&gt;=25,1,0)</x:f>
        <x:v>0</x:v>
      </x:c>
    </x:row>
    <x:row r="145">
      <x:c r="A145" s="8">
        <x:f>weather_data!B145</x:f>
        <x:v>45903.27083333334</x:v>
      </x:c>
      <x:c r="B145" s="9">
        <x:f>INT(A145)</x:f>
        <x:v>45903</x:v>
      </x:c>
      <x:c r="C145" s="10" t="str">
        <x:f>TEXT(B145,"yyyy-mm")</x:f>
        <x:v>2025-09</x:v>
      </x:c>
      <x:c r="D145" s="10">
        <x:f>MONTH(B145)</x:f>
        <x:v>9</x:v>
      </x:c>
      <x:c r="E145" s="10" t="str">
        <x:f>TEXT(B145,"mmmm")</x:f>
        <x:v>September</x:v>
      </x:c>
      <x:c r="F145" s="10" t="str">
        <x:f>"Q"&amp;ROUNDUP(D145/3,0)</x:f>
        <x:v>Q3</x:v>
      </x:c>
      <x:c r="G145" s="10" t="str">
        <x:f>IF(OR(D145=12,D145&lt;=2),"Winter",IF(D145&lt;=5,"Spring",IF(D145&lt;=8,"Summer","Autumn")))</x:f>
        <x:v>Autumn</x:v>
      </x:c>
      <x:c r="H145" s="11">
        <x:f>weather_data!E145-weather_data!D145</x:f>
        <x:v>-0.3999999999999986</x:v>
      </x:c>
      <x:c r="I145" s="10">
        <x:f>IF(OR(weather_data!H145="light rain",weather_data!H145="moderate rain",weather_data!H145="drizzle",weather_data!H145="thunderstorm"),1,0)</x:f>
        <x:v>1</x:v>
      </x:c>
      <x:c r="J145" s="10">
        <x:f>IF(weather_data!I145&gt;=25,1,0)</x:f>
        <x:v>0</x:v>
      </x:c>
    </x:row>
    <x:row r="146">
      <x:c r="A146" s="8">
        <x:f>weather_data!B146</x:f>
        <x:v>45904.25</x:v>
      </x:c>
      <x:c r="B146" s="9">
        <x:f>INT(A146)</x:f>
        <x:v>45904</x:v>
      </x:c>
      <x:c r="C146" s="10" t="str">
        <x:f>TEXT(B146,"yyyy-mm")</x:f>
        <x:v>2025-09</x:v>
      </x:c>
      <x:c r="D146" s="10">
        <x:f>MONTH(B146)</x:f>
        <x:v>9</x:v>
      </x:c>
      <x:c r="E146" s="10" t="str">
        <x:f>TEXT(B146,"mmmm")</x:f>
        <x:v>September</x:v>
      </x:c>
      <x:c r="F146" s="10" t="str">
        <x:f>"Q"&amp;ROUNDUP(D146/3,0)</x:f>
        <x:v>Q3</x:v>
      </x:c>
      <x:c r="G146" s="10" t="str">
        <x:f>IF(OR(D146=12,D146&lt;=2),"Winter",IF(D146&lt;=5,"Spring",IF(D146&lt;=8,"Summer","Autumn")))</x:f>
        <x:v>Autumn</x:v>
      </x:c>
      <x:c r="H146" s="11">
        <x:f>weather_data!E146-weather_data!D146</x:f>
        <x:v>0.29999999999999716</x:v>
      </x:c>
      <x:c r="I146" s="10">
        <x:f>IF(OR(weather_data!H146="light rain",weather_data!H146="moderate rain",weather_data!H146="drizzle",weather_data!H146="thunderstorm"),1,0)</x:f>
        <x:v>0</x:v>
      </x:c>
      <x:c r="J146" s="10">
        <x:f>IF(weather_data!I146&gt;=25,1,0)</x:f>
        <x:v>0</x:v>
      </x:c>
    </x:row>
    <x:row r="147">
      <x:c r="A147" s="8">
        <x:f>weather_data!B147</x:f>
        <x:v>45905.79861111111</x:v>
      </x:c>
      <x:c r="B147" s="9">
        <x:f>INT(A147)</x:f>
        <x:v>45905</x:v>
      </x:c>
      <x:c r="C147" s="10" t="str">
        <x:f>TEXT(B147,"yyyy-mm")</x:f>
        <x:v>2025-09</x:v>
      </x:c>
      <x:c r="D147" s="10">
        <x:f>MONTH(B147)</x:f>
        <x:v>9</x:v>
      </x:c>
      <x:c r="E147" s="10" t="str">
        <x:f>TEXT(B147,"mmmm")</x:f>
        <x:v>September</x:v>
      </x:c>
      <x:c r="F147" s="10" t="str">
        <x:f>"Q"&amp;ROUNDUP(D147/3,0)</x:f>
        <x:v>Q3</x:v>
      </x:c>
      <x:c r="G147" s="10" t="str">
        <x:f>IF(OR(D147=12,D147&lt;=2),"Winter",IF(D147&lt;=5,"Spring",IF(D147&lt;=8,"Summer","Autumn")))</x:f>
        <x:v>Autumn</x:v>
      </x:c>
      <x:c r="H147" s="11">
        <x:f>weather_data!E147-weather_data!D147</x:f>
        <x:v>1.6000000000000014</x:v>
      </x:c>
      <x:c r="I147" s="10">
        <x:f>IF(OR(weather_data!H147="light rain",weather_data!H147="moderate rain",weather_data!H147="drizzle",weather_data!H147="thunderstorm"),1,0)</x:f>
        <x:v>0</x:v>
      </x:c>
      <x:c r="J147" s="10">
        <x:f>IF(weather_data!I147&gt;=25,1,0)</x:f>
        <x:v>0</x:v>
      </x:c>
    </x:row>
    <x:row r="148">
      <x:c r="A148" s="8">
        <x:f>weather_data!B148</x:f>
        <x:v>45906.84027777778</x:v>
      </x:c>
      <x:c r="B148" s="9">
        <x:f>INT(A148)</x:f>
        <x:v>45906</x:v>
      </x:c>
      <x:c r="C148" s="10" t="str">
        <x:f>TEXT(B148,"yyyy-mm")</x:f>
        <x:v>2025-09</x:v>
      </x:c>
      <x:c r="D148" s="10">
        <x:f>MONTH(B148)</x:f>
        <x:v>9</x:v>
      </x:c>
      <x:c r="E148" s="10" t="str">
        <x:f>TEXT(B148,"mmmm")</x:f>
        <x:v>September</x:v>
      </x:c>
      <x:c r="F148" s="10" t="str">
        <x:f>"Q"&amp;ROUNDUP(D148/3,0)</x:f>
        <x:v>Q3</x:v>
      </x:c>
      <x:c r="G148" s="10" t="str">
        <x:f>IF(OR(D148=12,D148&lt;=2),"Winter",IF(D148&lt;=5,"Spring",IF(D148&lt;=8,"Summer","Autumn")))</x:f>
        <x:v>Autumn</x:v>
      </x:c>
      <x:c r="H148" s="11">
        <x:f>weather_data!E148-weather_data!D148</x:f>
        <x:v>0.3999999999999986</x:v>
      </x:c>
      <x:c r="I148" s="10">
        <x:f>IF(OR(weather_data!H148="light rain",weather_data!H148="moderate rain",weather_data!H148="drizzle",weather_data!H148="thunderstorm"),1,0)</x:f>
        <x:v>0</x:v>
      </x:c>
      <x:c r="J148" s="10">
        <x:f>IF(weather_data!I148&gt;=25,1,0)</x:f>
        <x:v>0</x:v>
      </x:c>
    </x:row>
    <x:row r="149">
      <x:c r="A149" s="8">
        <x:f>weather_data!B149</x:f>
        <x:v>45907.30555555555</x:v>
      </x:c>
      <x:c r="B149" s="9">
        <x:f>INT(A149)</x:f>
        <x:v>45907</x:v>
      </x:c>
      <x:c r="C149" s="10" t="str">
        <x:f>TEXT(B149,"yyyy-mm")</x:f>
        <x:v>2025-09</x:v>
      </x:c>
      <x:c r="D149" s="10">
        <x:f>MONTH(B149)</x:f>
        <x:v>9</x:v>
      </x:c>
      <x:c r="E149" s="10" t="str">
        <x:f>TEXT(B149,"mmmm")</x:f>
        <x:v>September</x:v>
      </x:c>
      <x:c r="F149" s="10" t="str">
        <x:f>"Q"&amp;ROUNDUP(D149/3,0)</x:f>
        <x:v>Q3</x:v>
      </x:c>
      <x:c r="G149" s="10" t="str">
        <x:f>IF(OR(D149=12,D149&lt;=2),"Winter",IF(D149&lt;=5,"Spring",IF(D149&lt;=8,"Summer","Autumn")))</x:f>
        <x:v>Autumn</x:v>
      </x:c>
      <x:c r="H149" s="11">
        <x:f>weather_data!E149-weather_data!D149</x:f>
        <x:v>-0.3000000000000007</x:v>
      </x:c>
      <x:c r="I149" s="10">
        <x:f>IF(OR(weather_data!H149="light rain",weather_data!H149="moderate rain",weather_data!H149="drizzle",weather_data!H149="thunderstorm"),1,0)</x:f>
        <x:v>0</x:v>
      </x:c>
      <x:c r="J149" s="10">
        <x:f>IF(weather_data!I149&gt;=25,1,0)</x:f>
        <x:v>0</x:v>
      </x:c>
    </x:row>
    <x:row r="150">
      <x:c r="A150" s="8">
        <x:f>weather_data!B150</x:f>
        <x:v>45908.76388888889</x:v>
      </x:c>
      <x:c r="B150" s="9">
        <x:f>INT(A150)</x:f>
        <x:v>45908</x:v>
      </x:c>
      <x:c r="C150" s="10" t="str">
        <x:f>TEXT(B150,"yyyy-mm")</x:f>
        <x:v>2025-09</x:v>
      </x:c>
      <x:c r="D150" s="10">
        <x:f>MONTH(B150)</x:f>
        <x:v>9</x:v>
      </x:c>
      <x:c r="E150" s="10" t="str">
        <x:f>TEXT(B150,"mmmm")</x:f>
        <x:v>September</x:v>
      </x:c>
      <x:c r="F150" s="10" t="str">
        <x:f>"Q"&amp;ROUNDUP(D150/3,0)</x:f>
        <x:v>Q3</x:v>
      </x:c>
      <x:c r="G150" s="10" t="str">
        <x:f>IF(OR(D150=12,D150&lt;=2),"Winter",IF(D150&lt;=5,"Spring",IF(D150&lt;=8,"Summer","Autumn")))</x:f>
        <x:v>Autumn</x:v>
      </x:c>
      <x:c r="H150" s="11">
        <x:f>weather_data!E150-weather_data!D150</x:f>
        <x:v>0.3999999999999986</x:v>
      </x:c>
      <x:c r="I150" s="10">
        <x:f>IF(OR(weather_data!H150="light rain",weather_data!H150="moderate rain",weather_data!H150="drizzle",weather_data!H150="thunderstorm"),1,0)</x:f>
        <x:v>1</x:v>
      </x:c>
      <x:c r="J150" s="10">
        <x:f>IF(weather_data!I150&gt;=25,1,0)</x:f>
        <x:v>0</x:v>
      </x:c>
    </x:row>
    <x:row r="151">
      <x:c r="A151" s="8">
        <x:f>weather_data!B151</x:f>
        <x:v>45909.52083333334</x:v>
      </x:c>
      <x:c r="B151" s="9">
        <x:f>INT(A151)</x:f>
        <x:v>45909</x:v>
      </x:c>
      <x:c r="C151" s="10" t="str">
        <x:f>TEXT(B151,"yyyy-mm")</x:f>
        <x:v>2025-09</x:v>
      </x:c>
      <x:c r="D151" s="10">
        <x:f>MONTH(B151)</x:f>
        <x:v>9</x:v>
      </x:c>
      <x:c r="E151" s="10" t="str">
        <x:f>TEXT(B151,"mmmm")</x:f>
        <x:v>September</x:v>
      </x:c>
      <x:c r="F151" s="10" t="str">
        <x:f>"Q"&amp;ROUNDUP(D151/3,0)</x:f>
        <x:v>Q3</x:v>
      </x:c>
      <x:c r="G151" s="10" t="str">
        <x:f>IF(OR(D151=12,D151&lt;=2),"Winter",IF(D151&lt;=5,"Spring",IF(D151&lt;=8,"Summer","Autumn")))</x:f>
        <x:v>Autumn</x:v>
      </x:c>
      <x:c r="H151" s="11">
        <x:f>weather_data!E151-weather_data!D151</x:f>
        <x:v>0.10000000000000142</x:v>
      </x:c>
      <x:c r="I151" s="10">
        <x:f>IF(OR(weather_data!H151="light rain",weather_data!H151="moderate rain",weather_data!H151="drizzle",weather_data!H151="thunderstorm"),1,0)</x:f>
        <x:v>1</x:v>
      </x:c>
      <x:c r="J151" s="10">
        <x:f>IF(weather_data!I151&gt;=25,1,0)</x:f>
        <x:v>0</x:v>
      </x:c>
    </x:row>
    <x:row r="152">
      <x:c r="A152" s="8">
        <x:f>weather_data!B152</x:f>
        <x:v>45910.68055555555</x:v>
      </x:c>
      <x:c r="B152" s="9">
        <x:f>INT(A152)</x:f>
        <x:v>45910</x:v>
      </x:c>
      <x:c r="C152" s="10" t="str">
        <x:f>TEXT(B152,"yyyy-mm")</x:f>
        <x:v>2025-09</x:v>
      </x:c>
      <x:c r="D152" s="10">
        <x:f>MONTH(B152)</x:f>
        <x:v>9</x:v>
      </x:c>
      <x:c r="E152" s="10" t="str">
        <x:f>TEXT(B152,"mmmm")</x:f>
        <x:v>September</x:v>
      </x:c>
      <x:c r="F152" s="10" t="str">
        <x:f>"Q"&amp;ROUNDUP(D152/3,0)</x:f>
        <x:v>Q3</x:v>
      </x:c>
      <x:c r="G152" s="10" t="str">
        <x:f>IF(OR(D152=12,D152&lt;=2),"Winter",IF(D152&lt;=5,"Spring",IF(D152&lt;=8,"Summer","Autumn")))</x:f>
        <x:v>Autumn</x:v>
      </x:c>
      <x:c r="H152" s="11">
        <x:f>weather_data!E152-weather_data!D152</x:f>
        <x:v>1.0999999999999979</x:v>
      </x:c>
      <x:c r="I152" s="10">
        <x:f>IF(OR(weather_data!H152="light rain",weather_data!H152="moderate rain",weather_data!H152="drizzle",weather_data!H152="thunderstorm"),1,0)</x:f>
        <x:v>0</x:v>
      </x:c>
      <x:c r="J152" s="10">
        <x:f>IF(weather_data!I152&gt;=25,1,0)</x:f>
        <x:v>0</x:v>
      </x:c>
    </x:row>
    <x:row r="153">
      <x:c r="A153" s="8">
        <x:f>weather_data!B153</x:f>
        <x:v>45911.76388888889</x:v>
      </x:c>
      <x:c r="B153" s="9">
        <x:f>INT(A153)</x:f>
        <x:v>45911</x:v>
      </x:c>
      <x:c r="C153" s="10" t="str">
        <x:f>TEXT(B153,"yyyy-mm")</x:f>
        <x:v>2025-09</x:v>
      </x:c>
      <x:c r="D153" s="10">
        <x:f>MONTH(B153)</x:f>
        <x:v>9</x:v>
      </x:c>
      <x:c r="E153" s="10" t="str">
        <x:f>TEXT(B153,"mmmm")</x:f>
        <x:v>September</x:v>
      </x:c>
      <x:c r="F153" s="10" t="str">
        <x:f>"Q"&amp;ROUNDUP(D153/3,0)</x:f>
        <x:v>Q3</x:v>
      </x:c>
      <x:c r="G153" s="10" t="str">
        <x:f>IF(OR(D153=12,D153&lt;=2),"Winter",IF(D153&lt;=5,"Spring",IF(D153&lt;=8,"Summer","Autumn")))</x:f>
        <x:v>Autumn</x:v>
      </x:c>
      <x:c r="H153" s="11">
        <x:f>weather_data!E153-weather_data!D153</x:f>
        <x:v>-0.1999999999999993</x:v>
      </x:c>
      <x:c r="I153" s="10">
        <x:f>IF(OR(weather_data!H153="light rain",weather_data!H153="moderate rain",weather_data!H153="drizzle",weather_data!H153="thunderstorm"),1,0)</x:f>
        <x:v>0</x:v>
      </x:c>
      <x:c r="J153" s="10">
        <x:f>IF(weather_data!I153&gt;=25,1,0)</x:f>
        <x:v>0</x:v>
      </x:c>
    </x:row>
    <x:row r="154">
      <x:c r="A154" s="8">
        <x:f>weather_data!B154</x:f>
        <x:v>45912.80555555555</x:v>
      </x:c>
      <x:c r="B154" s="9">
        <x:f>INT(A154)</x:f>
        <x:v>45912</x:v>
      </x:c>
      <x:c r="C154" s="10" t="str">
        <x:f>TEXT(B154,"yyyy-mm")</x:f>
        <x:v>2025-09</x:v>
      </x:c>
      <x:c r="D154" s="10">
        <x:f>MONTH(B154)</x:f>
        <x:v>9</x:v>
      </x:c>
      <x:c r="E154" s="10" t="str">
        <x:f>TEXT(B154,"mmmm")</x:f>
        <x:v>September</x:v>
      </x:c>
      <x:c r="F154" s="10" t="str">
        <x:f>"Q"&amp;ROUNDUP(D154/3,0)</x:f>
        <x:v>Q3</x:v>
      </x:c>
      <x:c r="G154" s="10" t="str">
        <x:f>IF(OR(D154=12,D154&lt;=2),"Winter",IF(D154&lt;=5,"Spring",IF(D154&lt;=8,"Summer","Autumn")))</x:f>
        <x:v>Autumn</x:v>
      </x:c>
      <x:c r="H154" s="11">
        <x:f>weather_data!E154-weather_data!D154</x:f>
        <x:v>1.6999999999999993</x:v>
      </x:c>
      <x:c r="I154" s="10">
        <x:f>IF(OR(weather_data!H154="light rain",weather_data!H154="moderate rain",weather_data!H154="drizzle",weather_data!H154="thunderstorm"),1,0)</x:f>
        <x:v>0</x:v>
      </x:c>
      <x:c r="J154" s="10">
        <x:f>IF(weather_data!I154&gt;=25,1,0)</x:f>
        <x:v>0</x:v>
      </x:c>
    </x:row>
    <x:row r="155">
      <x:c r="A155" s="8">
        <x:f>weather_data!B155</x:f>
        <x:v>45913.35416666666</x:v>
      </x:c>
      <x:c r="B155" s="9">
        <x:f>INT(A155)</x:f>
        <x:v>45913</x:v>
      </x:c>
      <x:c r="C155" s="10" t="str">
        <x:f>TEXT(B155,"yyyy-mm")</x:f>
        <x:v>2025-09</x:v>
      </x:c>
      <x:c r="D155" s="10">
        <x:f>MONTH(B155)</x:f>
        <x:v>9</x:v>
      </x:c>
      <x:c r="E155" s="10" t="str">
        <x:f>TEXT(B155,"mmmm")</x:f>
        <x:v>September</x:v>
      </x:c>
      <x:c r="F155" s="10" t="str">
        <x:f>"Q"&amp;ROUNDUP(D155/3,0)</x:f>
        <x:v>Q3</x:v>
      </x:c>
      <x:c r="G155" s="10" t="str">
        <x:f>IF(OR(D155=12,D155&lt;=2),"Winter",IF(D155&lt;=5,"Spring",IF(D155&lt;=8,"Summer","Autumn")))</x:f>
        <x:v>Autumn</x:v>
      </x:c>
      <x:c r="H155" s="11">
        <x:f>weather_data!E155-weather_data!D155</x:f>
        <x:v>-0.3000000000000007</x:v>
      </x:c>
      <x:c r="I155" s="10">
        <x:f>IF(OR(weather_data!H155="light rain",weather_data!H155="moderate rain",weather_data!H155="drizzle",weather_data!H155="thunderstorm"),1,0)</x:f>
        <x:v>0</x:v>
      </x:c>
      <x:c r="J155" s="10">
        <x:f>IF(weather_data!I155&gt;=25,1,0)</x:f>
        <x:v>0</x:v>
      </x:c>
    </x:row>
    <x:row r="156">
      <x:c r="A156" s="8">
        <x:f>weather_data!B156</x:f>
        <x:v>45914.28472222222</x:v>
      </x:c>
      <x:c r="B156" s="9">
        <x:f>INT(A156)</x:f>
        <x:v>45914</x:v>
      </x:c>
      <x:c r="C156" s="10" t="str">
        <x:f>TEXT(B156,"yyyy-mm")</x:f>
        <x:v>2025-09</x:v>
      </x:c>
      <x:c r="D156" s="10">
        <x:f>MONTH(B156)</x:f>
        <x:v>9</x:v>
      </x:c>
      <x:c r="E156" s="10" t="str">
        <x:f>TEXT(B156,"mmmm")</x:f>
        <x:v>September</x:v>
      </x:c>
      <x:c r="F156" s="10" t="str">
        <x:f>"Q"&amp;ROUNDUP(D156/3,0)</x:f>
        <x:v>Q3</x:v>
      </x:c>
      <x:c r="G156" s="10" t="str">
        <x:f>IF(OR(D156=12,D156&lt;=2),"Winter",IF(D156&lt;=5,"Spring",IF(D156&lt;=8,"Summer","Autumn")))</x:f>
        <x:v>Autumn</x:v>
      </x:c>
      <x:c r="H156" s="11">
        <x:f>weather_data!E156-weather_data!D156</x:f>
        <x:v>0.8000000000000007</x:v>
      </x:c>
      <x:c r="I156" s="10">
        <x:f>IF(OR(weather_data!H156="light rain",weather_data!H156="moderate rain",weather_data!H156="drizzle",weather_data!H156="thunderstorm"),1,0)</x:f>
        <x:v>1</x:v>
      </x:c>
      <x:c r="J156" s="10">
        <x:f>IF(weather_data!I156&gt;=25,1,0)</x:f>
        <x:v>1</x:v>
      </x:c>
    </x:row>
    <x:row r="157">
      <x:c r="A157" s="8">
        <x:f>weather_data!B157</x:f>
        <x:v>45915.30555555555</x:v>
      </x:c>
      <x:c r="B157" s="9">
        <x:f>INT(A157)</x:f>
        <x:v>45915</x:v>
      </x:c>
      <x:c r="C157" s="10" t="str">
        <x:f>TEXT(B157,"yyyy-mm")</x:f>
        <x:v>2025-09</x:v>
      </x:c>
      <x:c r="D157" s="10">
        <x:f>MONTH(B157)</x:f>
        <x:v>9</x:v>
      </x:c>
      <x:c r="E157" s="10" t="str">
        <x:f>TEXT(B157,"mmmm")</x:f>
        <x:v>September</x:v>
      </x:c>
      <x:c r="F157" s="10" t="str">
        <x:f>"Q"&amp;ROUNDUP(D157/3,0)</x:f>
        <x:v>Q3</x:v>
      </x:c>
      <x:c r="G157" s="10" t="str">
        <x:f>IF(OR(D157=12,D157&lt;=2),"Winter",IF(D157&lt;=5,"Spring",IF(D157&lt;=8,"Summer","Autumn")))</x:f>
        <x:v>Autumn</x:v>
      </x:c>
      <x:c r="H157" s="11">
        <x:f>weather_data!E157-weather_data!D157</x:f>
        <x:v>-0.40000000000000213</x:v>
      </x:c>
      <x:c r="I157" s="10">
        <x:f>IF(OR(weather_data!H157="light rain",weather_data!H157="moderate rain",weather_data!H157="drizzle",weather_data!H157="thunderstorm"),1,0)</x:f>
        <x:v>0</x:v>
      </x:c>
      <x:c r="J157" s="10">
        <x:f>IF(weather_data!I157&gt;=25,1,0)</x:f>
        <x:v>0</x:v>
      </x:c>
    </x:row>
    <x:row r="158">
      <x:c r="A158" s="8">
        <x:f>weather_data!B158</x:f>
        <x:v>45917.57638888889</x:v>
      </x:c>
      <x:c r="B158" s="9">
        <x:f>INT(A158)</x:f>
        <x:v>45917</x:v>
      </x:c>
      <x:c r="C158" s="10" t="str">
        <x:f>TEXT(B158,"yyyy-mm")</x:f>
        <x:v>2025-09</x:v>
      </x:c>
      <x:c r="D158" s="10">
        <x:f>MONTH(B158)</x:f>
        <x:v>9</x:v>
      </x:c>
      <x:c r="E158" s="10" t="str">
        <x:f>TEXT(B158,"mmmm")</x:f>
        <x:v>September</x:v>
      </x:c>
      <x:c r="F158" s="10" t="str">
        <x:f>"Q"&amp;ROUNDUP(D158/3,0)</x:f>
        <x:v>Q3</x:v>
      </x:c>
      <x:c r="G158" s="10" t="str">
        <x:f>IF(OR(D158=12,D158&lt;=2),"Winter",IF(D158&lt;=5,"Spring",IF(D158&lt;=8,"Summer","Autumn")))</x:f>
        <x:v>Autumn</x:v>
      </x:c>
      <x:c r="H158" s="11">
        <x:f>weather_data!E158-weather_data!D158</x:f>
        <x:v>1</x:v>
      </x:c>
      <x:c r="I158" s="10">
        <x:f>IF(OR(weather_data!H158="light rain",weather_data!H158="moderate rain",weather_data!H158="drizzle",weather_data!H158="thunderstorm"),1,0)</x:f>
        <x:v>0</x:v>
      </x:c>
      <x:c r="J158" s="10">
        <x:f>IF(weather_data!I158&gt;=25,1,0)</x:f>
        <x:v>0</x:v>
      </x:c>
    </x:row>
    <x:row r="159">
      <x:c r="A159" s="8">
        <x:f>weather_data!B159</x:f>
        <x:v>45918.36805555555</x:v>
      </x:c>
      <x:c r="B159" s="9">
        <x:f>INT(A159)</x:f>
        <x:v>45918</x:v>
      </x:c>
      <x:c r="C159" s="10" t="str">
        <x:f>TEXT(B159,"yyyy-mm")</x:f>
        <x:v>2025-09</x:v>
      </x:c>
      <x:c r="D159" s="10">
        <x:f>MONTH(B159)</x:f>
        <x:v>9</x:v>
      </x:c>
      <x:c r="E159" s="10" t="str">
        <x:f>TEXT(B159,"mmmm")</x:f>
        <x:v>September</x:v>
      </x:c>
      <x:c r="F159" s="10" t="str">
        <x:f>"Q"&amp;ROUNDUP(D159/3,0)</x:f>
        <x:v>Q3</x:v>
      </x:c>
      <x:c r="G159" s="10" t="str">
        <x:f>IF(OR(D159=12,D159&lt;=2),"Winter",IF(D159&lt;=5,"Spring",IF(D159&lt;=8,"Summer","Autumn")))</x:f>
        <x:v>Autumn</x:v>
      </x:c>
      <x:c r="H159" s="11">
        <x:f>weather_data!E159-weather_data!D159</x:f>
        <x:v>-0.8000000000000007</x:v>
      </x:c>
      <x:c r="I159" s="10">
        <x:f>IF(OR(weather_data!H159="light rain",weather_data!H159="moderate rain",weather_data!H159="drizzle",weather_data!H159="thunderstorm"),1,0)</x:f>
        <x:v>0</x:v>
      </x:c>
      <x:c r="J159" s="10">
        <x:f>IF(weather_data!I159&gt;=25,1,0)</x:f>
        <x:v>0</x:v>
      </x:c>
    </x:row>
    <x:row r="160">
      <x:c r="A160" s="8">
        <x:f>weather_data!B160</x:f>
        <x:v>45919.29166666666</x:v>
      </x:c>
      <x:c r="B160" s="9">
        <x:f>INT(A160)</x:f>
        <x:v>45919</x:v>
      </x:c>
      <x:c r="C160" s="10" t="str">
        <x:f>TEXT(B160,"yyyy-mm")</x:f>
        <x:v>2025-09</x:v>
      </x:c>
      <x:c r="D160" s="10">
        <x:f>MONTH(B160)</x:f>
        <x:v>9</x:v>
      </x:c>
      <x:c r="E160" s="10" t="str">
        <x:f>TEXT(B160,"mmmm")</x:f>
        <x:v>September</x:v>
      </x:c>
      <x:c r="F160" s="10" t="str">
        <x:f>"Q"&amp;ROUNDUP(D160/3,0)</x:f>
        <x:v>Q3</x:v>
      </x:c>
      <x:c r="G160" s="10" t="str">
        <x:f>IF(OR(D160=12,D160&lt;=2),"Winter",IF(D160&lt;=5,"Spring",IF(D160&lt;=8,"Summer","Autumn")))</x:f>
        <x:v>Autumn</x:v>
      </x:c>
      <x:c r="H160" s="11">
        <x:f>weather_data!E160-weather_data!D160</x:f>
        <x:v>0.6000000000000014</x:v>
      </x:c>
      <x:c r="I160" s="10">
        <x:f>IF(OR(weather_data!H160="light rain",weather_data!H160="moderate rain",weather_data!H160="drizzle",weather_data!H160="thunderstorm"),1,0)</x:f>
        <x:v>0</x:v>
      </x:c>
      <x:c r="J160" s="10">
        <x:f>IF(weather_data!I160&gt;=25,1,0)</x:f>
        <x:v>0</x:v>
      </x:c>
    </x:row>
    <x:row r="161">
      <x:c r="A161" s="8">
        <x:f>weather_data!B161</x:f>
        <x:v>45920.54861111111</x:v>
      </x:c>
      <x:c r="B161" s="9">
        <x:f>INT(A161)</x:f>
        <x:v>45920</x:v>
      </x:c>
      <x:c r="C161" s="10" t="str">
        <x:f>TEXT(B161,"yyyy-mm")</x:f>
        <x:v>2025-09</x:v>
      </x:c>
      <x:c r="D161" s="10">
        <x:f>MONTH(B161)</x:f>
        <x:v>9</x:v>
      </x:c>
      <x:c r="E161" s="10" t="str">
        <x:f>TEXT(B161,"mmmm")</x:f>
        <x:v>September</x:v>
      </x:c>
      <x:c r="F161" s="10" t="str">
        <x:f>"Q"&amp;ROUNDUP(D161/3,0)</x:f>
        <x:v>Q3</x:v>
      </x:c>
      <x:c r="G161" s="10" t="str">
        <x:f>IF(OR(D161=12,D161&lt;=2),"Winter",IF(D161&lt;=5,"Spring",IF(D161&lt;=8,"Summer","Autumn")))</x:f>
        <x:v>Autumn</x:v>
      </x:c>
      <x:c r="H161" s="11">
        <x:f>weather_data!E161-weather_data!D161</x:f>
        <x:v>0.3000000000000007</x:v>
      </x:c>
      <x:c r="I161" s="10">
        <x:f>IF(OR(weather_data!H161="light rain",weather_data!H161="moderate rain",weather_data!H161="drizzle",weather_data!H161="thunderstorm"),1,0)</x:f>
        <x:v>0</x:v>
      </x:c>
      <x:c r="J161" s="10">
        <x:f>IF(weather_data!I161&gt;=25,1,0)</x:f>
        <x:v>0</x:v>
      </x:c>
    </x:row>
    <x:row r="162">
      <x:c r="A162" s="8">
        <x:f>weather_data!B162</x:f>
        <x:v>45921.27777777778</x:v>
      </x:c>
      <x:c r="B162" s="9">
        <x:f>INT(A162)</x:f>
        <x:v>45921</x:v>
      </x:c>
      <x:c r="C162" s="10" t="str">
        <x:f>TEXT(B162,"yyyy-mm")</x:f>
        <x:v>2025-09</x:v>
      </x:c>
      <x:c r="D162" s="10">
        <x:f>MONTH(B162)</x:f>
        <x:v>9</x:v>
      </x:c>
      <x:c r="E162" s="10" t="str">
        <x:f>TEXT(B162,"mmmm")</x:f>
        <x:v>September</x:v>
      </x:c>
      <x:c r="F162" s="10" t="str">
        <x:f>"Q"&amp;ROUNDUP(D162/3,0)</x:f>
        <x:v>Q3</x:v>
      </x:c>
      <x:c r="G162" s="10" t="str">
        <x:f>IF(OR(D162=12,D162&lt;=2),"Winter",IF(D162&lt;=5,"Spring",IF(D162&lt;=8,"Summer","Autumn")))</x:f>
        <x:v>Autumn</x:v>
      </x:c>
      <x:c r="H162" s="11">
        <x:f>weather_data!E162-weather_data!D162</x:f>
        <x:v>-0.40000000000000213</x:v>
      </x:c>
      <x:c r="I162" s="10">
        <x:f>IF(OR(weather_data!H162="light rain",weather_data!H162="moderate rain",weather_data!H162="drizzle",weather_data!H162="thunderstorm"),1,0)</x:f>
        <x:v>0</x:v>
      </x:c>
      <x:c r="J162" s="10">
        <x:f>IF(weather_data!I162&gt;=25,1,0)</x:f>
        <x:v>0</x:v>
      </x:c>
    </x:row>
    <x:row r="163">
      <x:c r="A163" s="8">
        <x:f>weather_data!B163</x:f>
        <x:v>45922.42361111111</x:v>
      </x:c>
      <x:c r="B163" s="9">
        <x:f>INT(A163)</x:f>
        <x:v>45922</x:v>
      </x:c>
      <x:c r="C163" s="10" t="str">
        <x:f>TEXT(B163,"yyyy-mm")</x:f>
        <x:v>2025-09</x:v>
      </x:c>
      <x:c r="D163" s="10">
        <x:f>MONTH(B163)</x:f>
        <x:v>9</x:v>
      </x:c>
      <x:c r="E163" s="10" t="str">
        <x:f>TEXT(B163,"mmmm")</x:f>
        <x:v>September</x:v>
      </x:c>
      <x:c r="F163" s="10" t="str">
        <x:f>"Q"&amp;ROUNDUP(D163/3,0)</x:f>
        <x:v>Q3</x:v>
      </x:c>
      <x:c r="G163" s="10" t="str">
        <x:f>IF(OR(D163=12,D163&lt;=2),"Winter",IF(D163&lt;=5,"Spring",IF(D163&lt;=8,"Summer","Autumn")))</x:f>
        <x:v>Autumn</x:v>
      </x:c>
      <x:c r="H163" s="11">
        <x:f>weather_data!E163-weather_data!D163</x:f>
        <x:v>-1.0999999999999979</x:v>
      </x:c>
      <x:c r="I163" s="10">
        <x:f>IF(OR(weather_data!H163="light rain",weather_data!H163="moderate rain",weather_data!H163="drizzle",weather_data!H163="thunderstorm"),1,0)</x:f>
        <x:v>0</x:v>
      </x:c>
      <x:c r="J163" s="10">
        <x:f>IF(weather_data!I163&gt;=25,1,0)</x:f>
        <x:v>0</x:v>
      </x:c>
    </x:row>
    <x:row r="164">
      <x:c r="A164" s="8">
        <x:f>weather_data!B164</x:f>
        <x:v>45923.4375</x:v>
      </x:c>
      <x:c r="B164" s="9">
        <x:f>INT(A164)</x:f>
        <x:v>45923</x:v>
      </x:c>
      <x:c r="C164" s="10" t="str">
        <x:f>TEXT(B164,"yyyy-mm")</x:f>
        <x:v>2025-09</x:v>
      </x:c>
      <x:c r="D164" s="10">
        <x:f>MONTH(B164)</x:f>
        <x:v>9</x:v>
      </x:c>
      <x:c r="E164" s="10" t="str">
        <x:f>TEXT(B164,"mmmm")</x:f>
        <x:v>September</x:v>
      </x:c>
      <x:c r="F164" s="10" t="str">
        <x:f>"Q"&amp;ROUNDUP(D164/3,0)</x:f>
        <x:v>Q3</x:v>
      </x:c>
      <x:c r="G164" s="10" t="str">
        <x:f>IF(OR(D164=12,D164&lt;=2),"Winter",IF(D164&lt;=5,"Spring",IF(D164&lt;=8,"Summer","Autumn")))</x:f>
        <x:v>Autumn</x:v>
      </x:c>
      <x:c r="H164" s="11">
        <x:f>weather_data!E164-weather_data!D164</x:f>
        <x:v>0.1999999999999993</x:v>
      </x:c>
      <x:c r="I164" s="10">
        <x:f>IF(OR(weather_data!H164="light rain",weather_data!H164="moderate rain",weather_data!H164="drizzle",weather_data!H164="thunderstorm"),1,0)</x:f>
        <x:v>0</x:v>
      </x:c>
      <x:c r="J164" s="10">
        <x:f>IF(weather_data!I164&gt;=25,1,0)</x:f>
        <x:v>0</x:v>
      </x:c>
    </x:row>
    <x:row r="165">
      <x:c r="A165" s="8">
        <x:f>weather_data!B165</x:f>
        <x:v>45924.40277777778</x:v>
      </x:c>
      <x:c r="B165" s="9">
        <x:f>INT(A165)</x:f>
        <x:v>45924</x:v>
      </x:c>
      <x:c r="C165" s="10" t="str">
        <x:f>TEXT(B165,"yyyy-mm")</x:f>
        <x:v>2025-09</x:v>
      </x:c>
      <x:c r="D165" s="10">
        <x:f>MONTH(B165)</x:f>
        <x:v>9</x:v>
      </x:c>
      <x:c r="E165" s="10" t="str">
        <x:f>TEXT(B165,"mmmm")</x:f>
        <x:v>September</x:v>
      </x:c>
      <x:c r="F165" s="10" t="str">
        <x:f>"Q"&amp;ROUNDUP(D165/3,0)</x:f>
        <x:v>Q3</x:v>
      </x:c>
      <x:c r="G165" s="10" t="str">
        <x:f>IF(OR(D165=12,D165&lt;=2),"Winter",IF(D165&lt;=5,"Spring",IF(D165&lt;=8,"Summer","Autumn")))</x:f>
        <x:v>Autumn</x:v>
      </x:c>
      <x:c r="H165" s="11">
        <x:f>weather_data!E165-weather_data!D165</x:f>
        <x:v>-0.3999999999999986</x:v>
      </x:c>
      <x:c r="I165" s="10">
        <x:f>IF(OR(weather_data!H165="light rain",weather_data!H165="moderate rain",weather_data!H165="drizzle",weather_data!H165="thunderstorm"),1,0)</x:f>
        <x:v>0</x:v>
      </x:c>
      <x:c r="J165" s="10">
        <x:f>IF(weather_data!I165&gt;=25,1,0)</x:f>
        <x:v>0</x:v>
      </x:c>
    </x:row>
    <x:row r="166">
      <x:c r="A166" s="8">
        <x:f>weather_data!B166</x:f>
        <x:v>45925.52083333334</x:v>
      </x:c>
      <x:c r="B166" s="9">
        <x:f>INT(A166)</x:f>
        <x:v>45925</x:v>
      </x:c>
      <x:c r="C166" s="10" t="str">
        <x:f>TEXT(B166,"yyyy-mm")</x:f>
        <x:v>2025-09</x:v>
      </x:c>
      <x:c r="D166" s="10">
        <x:f>MONTH(B166)</x:f>
        <x:v>9</x:v>
      </x:c>
      <x:c r="E166" s="10" t="str">
        <x:f>TEXT(B166,"mmmm")</x:f>
        <x:v>September</x:v>
      </x:c>
      <x:c r="F166" s="10" t="str">
        <x:f>"Q"&amp;ROUNDUP(D166/3,0)</x:f>
        <x:v>Q3</x:v>
      </x:c>
      <x:c r="G166" s="10" t="str">
        <x:f>IF(OR(D166=12,D166&lt;=2),"Winter",IF(D166&lt;=5,"Spring",IF(D166&lt;=8,"Summer","Autumn")))</x:f>
        <x:v>Autumn</x:v>
      </x:c>
      <x:c r="H166" s="11">
        <x:f>weather_data!E166-weather_data!D166</x:f>
        <x:v>0</x:v>
      </x:c>
      <x:c r="I166" s="10">
        <x:f>IF(OR(weather_data!H166="light rain",weather_data!H166="moderate rain",weather_data!H166="drizzle",weather_data!H166="thunderstorm"),1,0)</x:f>
        <x:v>0</x:v>
      </x:c>
      <x:c r="J166" s="10">
        <x:f>IF(weather_data!I166&gt;=25,1,0)</x:f>
        <x:v>0</x:v>
      </x:c>
    </x:row>
    <x:row r="167">
      <x:c r="A167" s="8">
        <x:f>weather_data!B167</x:f>
        <x:v>45926.59722222222</x:v>
      </x:c>
      <x:c r="B167" s="9">
        <x:f>INT(A167)</x:f>
        <x:v>45926</x:v>
      </x:c>
      <x:c r="C167" s="10" t="str">
        <x:f>TEXT(B167,"yyyy-mm")</x:f>
        <x:v>2025-09</x:v>
      </x:c>
      <x:c r="D167" s="10">
        <x:f>MONTH(B167)</x:f>
        <x:v>9</x:v>
      </x:c>
      <x:c r="E167" s="10" t="str">
        <x:f>TEXT(B167,"mmmm")</x:f>
        <x:v>September</x:v>
      </x:c>
      <x:c r="F167" s="10" t="str">
        <x:f>"Q"&amp;ROUNDUP(D167/3,0)</x:f>
        <x:v>Q3</x:v>
      </x:c>
      <x:c r="G167" s="10" t="str">
        <x:f>IF(OR(D167=12,D167&lt;=2),"Winter",IF(D167&lt;=5,"Spring",IF(D167&lt;=8,"Summer","Autumn")))</x:f>
        <x:v>Autumn</x:v>
      </x:c>
      <x:c r="H167" s="11">
        <x:f>weather_data!E167-weather_data!D167</x:f>
        <x:v>-0.8000000000000007</x:v>
      </x:c>
      <x:c r="I167" s="10">
        <x:f>IF(OR(weather_data!H167="light rain",weather_data!H167="moderate rain",weather_data!H167="drizzle",weather_data!H167="thunderstorm"),1,0)</x:f>
        <x:v>0</x:v>
      </x:c>
      <x:c r="J167" s="10">
        <x:f>IF(weather_data!I167&gt;=25,1,0)</x:f>
        <x:v>0</x:v>
      </x:c>
    </x:row>
    <x:row r="168">
      <x:c r="A168" s="8">
        <x:f>weather_data!B168</x:f>
        <x:v>45927.48611111111</x:v>
      </x:c>
      <x:c r="B168" s="9">
        <x:f>INT(A168)</x:f>
        <x:v>45927</x:v>
      </x:c>
      <x:c r="C168" s="10" t="str">
        <x:f>TEXT(B168,"yyyy-mm")</x:f>
        <x:v>2025-09</x:v>
      </x:c>
      <x:c r="D168" s="10">
        <x:f>MONTH(B168)</x:f>
        <x:v>9</x:v>
      </x:c>
      <x:c r="E168" s="10" t="str">
        <x:f>TEXT(B168,"mmmm")</x:f>
        <x:v>September</x:v>
      </x:c>
      <x:c r="F168" s="10" t="str">
        <x:f>"Q"&amp;ROUNDUP(D168/3,0)</x:f>
        <x:v>Q3</x:v>
      </x:c>
      <x:c r="G168" s="10" t="str">
        <x:f>IF(OR(D168=12,D168&lt;=2),"Winter",IF(D168&lt;=5,"Spring",IF(D168&lt;=8,"Summer","Autumn")))</x:f>
        <x:v>Autumn</x:v>
      </x:c>
      <x:c r="H168" s="11">
        <x:f>weather_data!E168-weather_data!D168</x:f>
        <x:v>0.5999999999999979</x:v>
      </x:c>
      <x:c r="I168" s="10">
        <x:f>IF(OR(weather_data!H168="light rain",weather_data!H168="moderate rain",weather_data!H168="drizzle",weather_data!H168="thunderstorm"),1,0)</x:f>
        <x:v>0</x:v>
      </x:c>
      <x:c r="J168" s="10">
        <x:f>IF(weather_data!I168&gt;=25,1,0)</x:f>
        <x:v>0</x:v>
      </x:c>
    </x:row>
    <x:row r="169">
      <x:c r="A169" s="8">
        <x:f>weather_data!B169</x:f>
        <x:v>45928.38194444445</x:v>
      </x:c>
      <x:c r="B169" s="9">
        <x:f>INT(A169)</x:f>
        <x:v>45928</x:v>
      </x:c>
      <x:c r="C169" s="10" t="str">
        <x:f>TEXT(B169,"yyyy-mm")</x:f>
        <x:v>2025-09</x:v>
      </x:c>
      <x:c r="D169" s="10">
        <x:f>MONTH(B169)</x:f>
        <x:v>9</x:v>
      </x:c>
      <x:c r="E169" s="10" t="str">
        <x:f>TEXT(B169,"mmmm")</x:f>
        <x:v>September</x:v>
      </x:c>
      <x:c r="F169" s="10" t="str">
        <x:f>"Q"&amp;ROUNDUP(D169/3,0)</x:f>
        <x:v>Q3</x:v>
      </x:c>
      <x:c r="G169" s="10" t="str">
        <x:f>IF(OR(D169=12,D169&lt;=2),"Winter",IF(D169&lt;=5,"Spring",IF(D169&lt;=8,"Summer","Autumn")))</x:f>
        <x:v>Autumn</x:v>
      </x:c>
      <x:c r="H169" s="11">
        <x:f>weather_data!E169-weather_data!D169</x:f>
        <x:v>0.5</x:v>
      </x:c>
      <x:c r="I169" s="10">
        <x:f>IF(OR(weather_data!H169="light rain",weather_data!H169="moderate rain",weather_data!H169="drizzle",weather_data!H169="thunderstorm"),1,0)</x:f>
        <x:v>0</x:v>
      </x:c>
      <x:c r="J169" s="10">
        <x:f>IF(weather_data!I169&gt;=25,1,0)</x:f>
        <x:v>0</x:v>
      </x:c>
    </x:row>
    <x:row r="170">
      <x:c r="A170" s="8">
        <x:f>weather_data!B170</x:f>
        <x:v>45929.625</x:v>
      </x:c>
      <x:c r="B170" s="9">
        <x:f>INT(A170)</x:f>
        <x:v>45929</x:v>
      </x:c>
      <x:c r="C170" s="10" t="str">
        <x:f>TEXT(B170,"yyyy-mm")</x:f>
        <x:v>2025-09</x:v>
      </x:c>
      <x:c r="D170" s="10">
        <x:f>MONTH(B170)</x:f>
        <x:v>9</x:v>
      </x:c>
      <x:c r="E170" s="10" t="str">
        <x:f>TEXT(B170,"mmmm")</x:f>
        <x:v>September</x:v>
      </x:c>
      <x:c r="F170" s="10" t="str">
        <x:f>"Q"&amp;ROUNDUP(D170/3,0)</x:f>
        <x:v>Q3</x:v>
      </x:c>
      <x:c r="G170" s="10" t="str">
        <x:f>IF(OR(D170=12,D170&lt;=2),"Winter",IF(D170&lt;=5,"Spring",IF(D170&lt;=8,"Summer","Autumn")))</x:f>
        <x:v>Autumn</x:v>
      </x:c>
      <x:c r="H170" s="11">
        <x:f>weather_data!E170-weather_data!D170</x:f>
        <x:v>1.0999999999999979</x:v>
      </x:c>
      <x:c r="I170" s="10">
        <x:f>IF(OR(weather_data!H170="light rain",weather_data!H170="moderate rain",weather_data!H170="drizzle",weather_data!H170="thunderstorm"),1,0)</x:f>
        <x:v>0</x:v>
      </x:c>
      <x:c r="J170" s="10">
        <x:f>IF(weather_data!I170&gt;=25,1,0)</x:f>
        <x:v>0</x:v>
      </x:c>
    </x:row>
    <x:row r="171">
      <x:c r="A171" s="8">
        <x:f>weather_data!B171</x:f>
        <x:v>45930.26388888889</x:v>
      </x:c>
      <x:c r="B171" s="9">
        <x:f>INT(A171)</x:f>
        <x:v>45930</x:v>
      </x:c>
      <x:c r="C171" s="10" t="str">
        <x:f>TEXT(B171,"yyyy-mm")</x:f>
        <x:v>2025-09</x:v>
      </x:c>
      <x:c r="D171" s="10">
        <x:f>MONTH(B171)</x:f>
        <x:v>9</x:v>
      </x:c>
      <x:c r="E171" s="10" t="str">
        <x:f>TEXT(B171,"mmmm")</x:f>
        <x:v>September</x:v>
      </x:c>
      <x:c r="F171" s="10" t="str">
        <x:f>"Q"&amp;ROUNDUP(D171/3,0)</x:f>
        <x:v>Q3</x:v>
      </x:c>
      <x:c r="G171" s="10" t="str">
        <x:f>IF(OR(D171=12,D171&lt;=2),"Winter",IF(D171&lt;=5,"Spring",IF(D171&lt;=8,"Summer","Autumn")))</x:f>
        <x:v>Autumn</x:v>
      </x:c>
      <x:c r="H171" s="11">
        <x:f>weather_data!E171-weather_data!D171</x:f>
        <x:v>-0.3000000000000007</x:v>
      </x:c>
      <x:c r="I171" s="10">
        <x:f>IF(OR(weather_data!H171="light rain",weather_data!H171="moderate rain",weather_data!H171="drizzle",weather_data!H171="thunderstorm"),1,0)</x:f>
        <x:v>0</x:v>
      </x:c>
      <x:c r="J171" s="10">
        <x:f>IF(weather_data!I171&gt;=25,1,0)</x:f>
        <x:v>1</x:v>
      </x:c>
    </x:row>
    <x:row r="172">
      <x:c r="A172" s="8">
        <x:f>weather_data!B172</x:f>
        <x:v>45931.77083333334</x:v>
      </x:c>
      <x:c r="B172" s="9">
        <x:f>INT(A172)</x:f>
        <x:v>45931</x:v>
      </x:c>
      <x:c r="C172" s="10" t="str">
        <x:f>TEXT(B172,"yyyy-mm")</x:f>
        <x:v>2025-10</x:v>
      </x:c>
      <x:c r="D172" s="10">
        <x:f>MONTH(B172)</x:f>
        <x:v>10</x:v>
      </x:c>
      <x:c r="E172" s="10" t="str">
        <x:f>TEXT(B172,"mmmm")</x:f>
        <x:v>October</x:v>
      </x:c>
      <x:c r="F172" s="10" t="str">
        <x:f>"Q"&amp;ROUNDUP(D172/3,0)</x:f>
        <x:v>Q4</x:v>
      </x:c>
      <x:c r="G172" s="10" t="str">
        <x:f>IF(OR(D172=12,D172&lt;=2),"Winter",IF(D172&lt;=5,"Spring",IF(D172&lt;=8,"Summer","Autumn")))</x:f>
        <x:v>Autumn</x:v>
      </x:c>
      <x:c r="H172" s="11">
        <x:f>weather_data!E172-weather_data!D172</x:f>
        <x:v>0.3999999999999986</x:v>
      </x:c>
      <x:c r="I172" s="10">
        <x:f>IF(OR(weather_data!H172="light rain",weather_data!H172="moderate rain",weather_data!H172="drizzle",weather_data!H172="thunderstorm"),1,0)</x:f>
        <x:v>0</x:v>
      </x:c>
      <x:c r="J172" s="10">
        <x:f>IF(weather_data!I172&gt;=25,1,0)</x:f>
        <x:v>0</x:v>
      </x:c>
    </x:row>
    <x:row r="173">
      <x:c r="A173" s="8">
        <x:f>weather_data!B173</x:f>
        <x:v>45932.5</x:v>
      </x:c>
      <x:c r="B173" s="9">
        <x:f>INT(A173)</x:f>
        <x:v>45932</x:v>
      </x:c>
      <x:c r="C173" s="10" t="str">
        <x:f>TEXT(B173,"yyyy-mm")</x:f>
        <x:v>2025-10</x:v>
      </x:c>
      <x:c r="D173" s="10">
        <x:f>MONTH(B173)</x:f>
        <x:v>10</x:v>
      </x:c>
      <x:c r="E173" s="10" t="str">
        <x:f>TEXT(B173,"mmmm")</x:f>
        <x:v>October</x:v>
      </x:c>
      <x:c r="F173" s="10" t="str">
        <x:f>"Q"&amp;ROUNDUP(D173/3,0)</x:f>
        <x:v>Q4</x:v>
      </x:c>
      <x:c r="G173" s="10" t="str">
        <x:f>IF(OR(D173=12,D173&lt;=2),"Winter",IF(D173&lt;=5,"Spring",IF(D173&lt;=8,"Summer","Autumn")))</x:f>
        <x:v>Autumn</x:v>
      </x:c>
      <x:c r="H173" s="11">
        <x:f>weather_data!E173-weather_data!D173</x:f>
        <x:v>-0.6999999999999993</x:v>
      </x:c>
      <x:c r="I173" s="10">
        <x:f>IF(OR(weather_data!H173="light rain",weather_data!H173="moderate rain",weather_data!H173="drizzle",weather_data!H173="thunderstorm"),1,0)</x:f>
        <x:v>0</x:v>
      </x:c>
      <x:c r="J173" s="10">
        <x:f>IF(weather_data!I173&gt;=25,1,0)</x:f>
        <x:v>0</x:v>
      </x:c>
    </x:row>
    <x:row r="174">
      <x:c r="A174" s="8">
        <x:f>weather_data!B174</x:f>
        <x:v>45933.54166666666</x:v>
      </x:c>
      <x:c r="B174" s="9">
        <x:f>INT(A174)</x:f>
        <x:v>45933</x:v>
      </x:c>
      <x:c r="C174" s="10" t="str">
        <x:f>TEXT(B174,"yyyy-mm")</x:f>
        <x:v>2025-10</x:v>
      </x:c>
      <x:c r="D174" s="10">
        <x:f>MONTH(B174)</x:f>
        <x:v>10</x:v>
      </x:c>
      <x:c r="E174" s="10" t="str">
        <x:f>TEXT(B174,"mmmm")</x:f>
        <x:v>October</x:v>
      </x:c>
      <x:c r="F174" s="10" t="str">
        <x:f>"Q"&amp;ROUNDUP(D174/3,0)</x:f>
        <x:v>Q4</x:v>
      </x:c>
      <x:c r="G174" s="10" t="str">
        <x:f>IF(OR(D174=12,D174&lt;=2),"Winter",IF(D174&lt;=5,"Spring",IF(D174&lt;=8,"Summer","Autumn")))</x:f>
        <x:v>Autumn</x:v>
      </x:c>
      <x:c r="H174" s="11">
        <x:f>weather_data!E174-weather_data!D174</x:f>
        <x:v>0.8000000000000007</x:v>
      </x:c>
      <x:c r="I174" s="10">
        <x:f>IF(OR(weather_data!H174="light rain",weather_data!H174="moderate rain",weather_data!H174="drizzle",weather_data!H174="thunderstorm"),1,0)</x:f>
        <x:v>1</x:v>
      </x:c>
      <x:c r="J174" s="10">
        <x:f>IF(weather_data!I174&gt;=25,1,0)</x:f>
        <x:v>0</x:v>
      </x:c>
    </x:row>
    <x:row r="175">
      <x:c r="A175" s="8">
        <x:f>weather_data!B175</x:f>
        <x:v>45934.65972222222</x:v>
      </x:c>
      <x:c r="B175" s="9">
        <x:f>INT(A175)</x:f>
        <x:v>45934</x:v>
      </x:c>
      <x:c r="C175" s="10" t="str">
        <x:f>TEXT(B175,"yyyy-mm")</x:f>
        <x:v>2025-10</x:v>
      </x:c>
      <x:c r="D175" s="10">
        <x:f>MONTH(B175)</x:f>
        <x:v>10</x:v>
      </x:c>
      <x:c r="E175" s="10" t="str">
        <x:f>TEXT(B175,"mmmm")</x:f>
        <x:v>October</x:v>
      </x:c>
      <x:c r="F175" s="10" t="str">
        <x:f>"Q"&amp;ROUNDUP(D175/3,0)</x:f>
        <x:v>Q4</x:v>
      </x:c>
      <x:c r="G175" s="10" t="str">
        <x:f>IF(OR(D175=12,D175&lt;=2),"Winter",IF(D175&lt;=5,"Spring",IF(D175&lt;=8,"Summer","Autumn")))</x:f>
        <x:v>Autumn</x:v>
      </x:c>
      <x:c r="H175" s="11">
        <x:f>weather_data!E175-weather_data!D175</x:f>
        <x:v>0.6999999999999993</x:v>
      </x:c>
      <x:c r="I175" s="10">
        <x:f>IF(OR(weather_data!H175="light rain",weather_data!H175="moderate rain",weather_data!H175="drizzle",weather_data!H175="thunderstorm"),1,0)</x:f>
        <x:v>1</x:v>
      </x:c>
      <x:c r="J175" s="10">
        <x:f>IF(weather_data!I175&gt;=25,1,0)</x:f>
        <x:v>1</x:v>
      </x:c>
    </x:row>
    <x:row r="176">
      <x:c r="A176" s="8">
        <x:f>weather_data!B176</x:f>
        <x:v>45935.40277777778</x:v>
      </x:c>
      <x:c r="B176" s="9">
        <x:f>INT(A176)</x:f>
        <x:v>45935</x:v>
      </x:c>
      <x:c r="C176" s="10" t="str">
        <x:f>TEXT(B176,"yyyy-mm")</x:f>
        <x:v>2025-10</x:v>
      </x:c>
      <x:c r="D176" s="10">
        <x:f>MONTH(B176)</x:f>
        <x:v>10</x:v>
      </x:c>
      <x:c r="E176" s="10" t="str">
        <x:f>TEXT(B176,"mmmm")</x:f>
        <x:v>October</x:v>
      </x:c>
      <x:c r="F176" s="10" t="str">
        <x:f>"Q"&amp;ROUNDUP(D176/3,0)</x:f>
        <x:v>Q4</x:v>
      </x:c>
      <x:c r="G176" s="10" t="str">
        <x:f>IF(OR(D176=12,D176&lt;=2),"Winter",IF(D176&lt;=5,"Spring",IF(D176&lt;=8,"Summer","Autumn")))</x:f>
        <x:v>Autumn</x:v>
      </x:c>
      <x:c r="H176" s="11">
        <x:f>weather_data!E176-weather_data!D176</x:f>
        <x:v>-0.7000000000000028</x:v>
      </x:c>
      <x:c r="I176" s="10">
        <x:f>IF(OR(weather_data!H176="light rain",weather_data!H176="moderate rain",weather_data!H176="drizzle",weather_data!H176="thunderstorm"),1,0)</x:f>
        <x:v>1</x:v>
      </x:c>
      <x:c r="J176" s="10">
        <x:f>IF(weather_data!I176&gt;=25,1,0)</x:f>
        <x:v>0</x:v>
      </x:c>
    </x:row>
    <x:row r="177">
      <x:c r="A177" s="8">
        <x:f>weather_data!B177</x:f>
        <x:v>45936.30555555555</x:v>
      </x:c>
      <x:c r="B177" s="9">
        <x:f>INT(A177)</x:f>
        <x:v>45936</x:v>
      </x:c>
      <x:c r="C177" s="10" t="str">
        <x:f>TEXT(B177,"yyyy-mm")</x:f>
        <x:v>2025-10</x:v>
      </x:c>
      <x:c r="D177" s="10">
        <x:f>MONTH(B177)</x:f>
        <x:v>10</x:v>
      </x:c>
      <x:c r="E177" s="10" t="str">
        <x:f>TEXT(B177,"mmmm")</x:f>
        <x:v>October</x:v>
      </x:c>
      <x:c r="F177" s="10" t="str">
        <x:f>"Q"&amp;ROUNDUP(D177/3,0)</x:f>
        <x:v>Q4</x:v>
      </x:c>
      <x:c r="G177" s="10" t="str">
        <x:f>IF(OR(D177=12,D177&lt;=2),"Winter",IF(D177&lt;=5,"Spring",IF(D177&lt;=8,"Summer","Autumn")))</x:f>
        <x:v>Autumn</x:v>
      </x:c>
      <x:c r="H177" s="11">
        <x:f>weather_data!E177-weather_data!D177</x:f>
        <x:v>0.10000000000000142</x:v>
      </x:c>
      <x:c r="I177" s="10">
        <x:f>IF(OR(weather_data!H177="light rain",weather_data!H177="moderate rain",weather_data!H177="drizzle",weather_data!H177="thunderstorm"),1,0)</x:f>
        <x:v>1</x:v>
      </x:c>
      <x:c r="J177" s="10">
        <x:f>IF(weather_data!I177&gt;=25,1,0)</x:f>
        <x:v>0</x:v>
      </x:c>
    </x:row>
    <x:row r="178">
      <x:c r="A178" s="8">
        <x:f>weather_data!B178</x:f>
        <x:v>45937.82638888889</x:v>
      </x:c>
      <x:c r="B178" s="9">
        <x:f>INT(A178)</x:f>
        <x:v>45937</x:v>
      </x:c>
      <x:c r="C178" s="10" t="str">
        <x:f>TEXT(B178,"yyyy-mm")</x:f>
        <x:v>2025-10</x:v>
      </x:c>
      <x:c r="D178" s="10">
        <x:f>MONTH(B178)</x:f>
        <x:v>10</x:v>
      </x:c>
      <x:c r="E178" s="10" t="str">
        <x:f>TEXT(B178,"mmmm")</x:f>
        <x:v>October</x:v>
      </x:c>
      <x:c r="F178" s="10" t="str">
        <x:f>"Q"&amp;ROUNDUP(D178/3,0)</x:f>
        <x:v>Q4</x:v>
      </x:c>
      <x:c r="G178" s="10" t="str">
        <x:f>IF(OR(D178=12,D178&lt;=2),"Winter",IF(D178&lt;=5,"Spring",IF(D178&lt;=8,"Summer","Autumn")))</x:f>
        <x:v>Autumn</x:v>
      </x:c>
      <x:c r="H178" s="11">
        <x:f>weather_data!E178-weather_data!D178</x:f>
        <x:v>0.3999999999999986</x:v>
      </x:c>
      <x:c r="I178" s="10">
        <x:f>IF(OR(weather_data!H178="light rain",weather_data!H178="moderate rain",weather_data!H178="drizzle",weather_data!H178="thunderstorm"),1,0)</x:f>
        <x:v>0</x:v>
      </x:c>
      <x:c r="J178" s="10">
        <x:f>IF(weather_data!I178&gt;=25,1,0)</x:f>
        <x:v>0</x:v>
      </x:c>
    </x:row>
    <x:row r="179">
      <x:c r="A179" s="8">
        <x:f>weather_data!B179</x:f>
        <x:v>45938.70833333334</x:v>
      </x:c>
      <x:c r="B179" s="9">
        <x:f>INT(A179)</x:f>
        <x:v>45938</x:v>
      </x:c>
      <x:c r="C179" s="10" t="str">
        <x:f>TEXT(B179,"yyyy-mm")</x:f>
        <x:v>2025-10</x:v>
      </x:c>
      <x:c r="D179" s="10">
        <x:f>MONTH(B179)</x:f>
        <x:v>10</x:v>
      </x:c>
      <x:c r="E179" s="10" t="str">
        <x:f>TEXT(B179,"mmmm")</x:f>
        <x:v>October</x:v>
      </x:c>
      <x:c r="F179" s="10" t="str">
        <x:f>"Q"&amp;ROUNDUP(D179/3,0)</x:f>
        <x:v>Q4</x:v>
      </x:c>
      <x:c r="G179" s="10" t="str">
        <x:f>IF(OR(D179=12,D179&lt;=2),"Winter",IF(D179&lt;=5,"Spring",IF(D179&lt;=8,"Summer","Autumn")))</x:f>
        <x:v>Autumn</x:v>
      </x:c>
      <x:c r="H179" s="11">
        <x:f>weather_data!E179-weather_data!D179</x:f>
        <x:v>-0.5</x:v>
      </x:c>
      <x:c r="I179" s="10">
        <x:f>IF(OR(weather_data!H179="light rain",weather_data!H179="moderate rain",weather_data!H179="drizzle",weather_data!H179="thunderstorm"),1,0)</x:f>
        <x:v>0</x:v>
      </x:c>
      <x:c r="J179" s="10">
        <x:f>IF(weather_data!I179&gt;=25,1,0)</x:f>
        <x:v>0</x:v>
      </x:c>
    </x:row>
    <x:row r="180">
      <x:c r="A180" s="8">
        <x:f>weather_data!B180</x:f>
        <x:v>45939.66666666666</x:v>
      </x:c>
      <x:c r="B180" s="9">
        <x:f>INT(A180)</x:f>
        <x:v>45939</x:v>
      </x:c>
      <x:c r="C180" s="10" t="str">
        <x:f>TEXT(B180,"yyyy-mm")</x:f>
        <x:v>2025-10</x:v>
      </x:c>
      <x:c r="D180" s="10">
        <x:f>MONTH(B180)</x:f>
        <x:v>10</x:v>
      </x:c>
      <x:c r="E180" s="10" t="str">
        <x:f>TEXT(B180,"mmmm")</x:f>
        <x:v>October</x:v>
      </x:c>
      <x:c r="F180" s="10" t="str">
        <x:f>"Q"&amp;ROUNDUP(D180/3,0)</x:f>
        <x:v>Q4</x:v>
      </x:c>
      <x:c r="G180" s="10" t="str">
        <x:f>IF(OR(D180=12,D180&lt;=2),"Winter",IF(D180&lt;=5,"Spring",IF(D180&lt;=8,"Summer","Autumn")))</x:f>
        <x:v>Autumn</x:v>
      </x:c>
      <x:c r="H180" s="11">
        <x:f>weather_data!E180-weather_data!D180</x:f>
        <x:v>-0.3000000000000007</x:v>
      </x:c>
      <x:c r="I180" s="10">
        <x:f>IF(OR(weather_data!H180="light rain",weather_data!H180="moderate rain",weather_data!H180="drizzle",weather_data!H180="thunderstorm"),1,0)</x:f>
        <x:v>1</x:v>
      </x:c>
      <x:c r="J180" s="10">
        <x:f>IF(weather_data!I180&gt;=25,1,0)</x:f>
        <x:v>1</x:v>
      </x:c>
    </x:row>
    <x:row r="181">
      <x:c r="A181" s="8">
        <x:f>weather_data!B181</x:f>
        <x:v>45940.8125</x:v>
      </x:c>
      <x:c r="B181" s="9">
        <x:f>INT(A181)</x:f>
        <x:v>45940</x:v>
      </x:c>
      <x:c r="C181" s="10" t="str">
        <x:f>TEXT(B181,"yyyy-mm")</x:f>
        <x:v>2025-10</x:v>
      </x:c>
      <x:c r="D181" s="10">
        <x:f>MONTH(B181)</x:f>
        <x:v>10</x:v>
      </x:c>
      <x:c r="E181" s="10" t="str">
        <x:f>TEXT(B181,"mmmm")</x:f>
        <x:v>October</x:v>
      </x:c>
      <x:c r="F181" s="10" t="str">
        <x:f>"Q"&amp;ROUNDUP(D181/3,0)</x:f>
        <x:v>Q4</x:v>
      </x:c>
      <x:c r="G181" s="10" t="str">
        <x:f>IF(OR(D181=12,D181&lt;=2),"Winter",IF(D181&lt;=5,"Spring",IF(D181&lt;=8,"Summer","Autumn")))</x:f>
        <x:v>Autumn</x:v>
      </x:c>
      <x:c r="H181" s="11">
        <x:f>weather_data!E181-weather_data!D181</x:f>
        <x:v>-1</x:v>
      </x:c>
      <x:c r="I181" s="10">
        <x:f>IF(OR(weather_data!H181="light rain",weather_data!H181="moderate rain",weather_data!H181="drizzle",weather_data!H181="thunderstorm"),1,0)</x:f>
        <x:v>0</x:v>
      </x:c>
      <x:c r="J181" s="10">
        <x:f>IF(weather_data!I181&gt;=25,1,0)</x:f>
        <x:v>0</x:v>
      </x:c>
    </x:row>
    <x:row r="182">
      <x:c r="A182" s="8">
        <x:f>weather_data!B182</x:f>
        <x:v>45941.39583333334</x:v>
      </x:c>
      <x:c r="B182" s="9">
        <x:f>INT(A182)</x:f>
        <x:v>45941</x:v>
      </x:c>
      <x:c r="C182" s="10" t="str">
        <x:f>TEXT(B182,"yyyy-mm")</x:f>
        <x:v>2025-10</x:v>
      </x:c>
      <x:c r="D182" s="10">
        <x:f>MONTH(B182)</x:f>
        <x:v>10</x:v>
      </x:c>
      <x:c r="E182" s="10" t="str">
        <x:f>TEXT(B182,"mmmm")</x:f>
        <x:v>October</x:v>
      </x:c>
      <x:c r="F182" s="10" t="str">
        <x:f>"Q"&amp;ROUNDUP(D182/3,0)</x:f>
        <x:v>Q4</x:v>
      </x:c>
      <x:c r="G182" s="10" t="str">
        <x:f>IF(OR(D182=12,D182&lt;=2),"Winter",IF(D182&lt;=5,"Spring",IF(D182&lt;=8,"Summer","Autumn")))</x:f>
        <x:v>Autumn</x:v>
      </x:c>
      <x:c r="H182" s="11">
        <x:f>weather_data!E182-weather_data!D182</x:f>
        <x:v>0.6000000000000014</x:v>
      </x:c>
      <x:c r="I182" s="10">
        <x:f>IF(OR(weather_data!H182="light rain",weather_data!H182="moderate rain",weather_data!H182="drizzle",weather_data!H182="thunderstorm"),1,0)</x:f>
        <x:v>0</x:v>
      </x:c>
      <x:c r="J182" s="10">
        <x:f>IF(weather_data!I182&gt;=25,1,0)</x:f>
        <x:v>0</x:v>
      </x:c>
    </x:row>
    <x:row r="183">
      <x:c r="A183" s="8">
        <x:f>weather_data!B183</x:f>
        <x:v>45942.74305555555</x:v>
      </x:c>
      <x:c r="B183" s="9">
        <x:f>INT(A183)</x:f>
        <x:v>45942</x:v>
      </x:c>
      <x:c r="C183" s="10" t="str">
        <x:f>TEXT(B183,"yyyy-mm")</x:f>
        <x:v>2025-10</x:v>
      </x:c>
      <x:c r="D183" s="10">
        <x:f>MONTH(B183)</x:f>
        <x:v>10</x:v>
      </x:c>
      <x:c r="E183" s="10" t="str">
        <x:f>TEXT(B183,"mmmm")</x:f>
        <x:v>October</x:v>
      </x:c>
      <x:c r="F183" s="10" t="str">
        <x:f>"Q"&amp;ROUNDUP(D183/3,0)</x:f>
        <x:v>Q4</x:v>
      </x:c>
      <x:c r="G183" s="10" t="str">
        <x:f>IF(OR(D183=12,D183&lt;=2),"Winter",IF(D183&lt;=5,"Spring",IF(D183&lt;=8,"Summer","Autumn")))</x:f>
        <x:v>Autumn</x:v>
      </x:c>
      <x:c r="H183" s="11">
        <x:f>weather_data!E183-weather_data!D183</x:f>
        <x:v>-0.8000000000000007</x:v>
      </x:c>
      <x:c r="I183" s="10">
        <x:f>IF(OR(weather_data!H183="light rain",weather_data!H183="moderate rain",weather_data!H183="drizzle",weather_data!H183="thunderstorm"),1,0)</x:f>
        <x:v>0</x:v>
      </x:c>
      <x:c r="J183" s="10">
        <x:f>IF(weather_data!I183&gt;=25,1,0)</x:f>
        <x:v>0</x:v>
      </x:c>
    </x:row>
    <x:row r="184">
      <x:c r="A184" s="8">
        <x:f>weather_data!B184</x:f>
        <x:v>45943.86805555555</x:v>
      </x:c>
      <x:c r="B184" s="9">
        <x:f>INT(A184)</x:f>
        <x:v>45943</x:v>
      </x:c>
      <x:c r="C184" s="10" t="str">
        <x:f>TEXT(B184,"yyyy-mm")</x:f>
        <x:v>2025-10</x:v>
      </x:c>
      <x:c r="D184" s="10">
        <x:f>MONTH(B184)</x:f>
        <x:v>10</x:v>
      </x:c>
      <x:c r="E184" s="10" t="str">
        <x:f>TEXT(B184,"mmmm")</x:f>
        <x:v>October</x:v>
      </x:c>
      <x:c r="F184" s="10" t="str">
        <x:f>"Q"&amp;ROUNDUP(D184/3,0)</x:f>
        <x:v>Q4</x:v>
      </x:c>
      <x:c r="G184" s="10" t="str">
        <x:f>IF(OR(D184=12,D184&lt;=2),"Winter",IF(D184&lt;=5,"Spring",IF(D184&lt;=8,"Summer","Autumn")))</x:f>
        <x:v>Autumn</x:v>
      </x:c>
      <x:c r="H184" s="11">
        <x:f>weather_data!E184-weather_data!D184</x:f>
        <x:v>-0.10000000000000142</x:v>
      </x:c>
      <x:c r="I184" s="10">
        <x:f>IF(OR(weather_data!H184="light rain",weather_data!H184="moderate rain",weather_data!H184="drizzle",weather_data!H184="thunderstorm"),1,0)</x:f>
        <x:v>1</x:v>
      </x:c>
      <x:c r="J184" s="10">
        <x:f>IF(weather_data!I184&gt;=25,1,0)</x:f>
        <x:v>0</x:v>
      </x:c>
    </x:row>
    <x:row r="185">
      <x:c r="A185" s="8">
        <x:f>weather_data!B185</x:f>
        <x:v>45944.4375</x:v>
      </x:c>
      <x:c r="B185" s="9">
        <x:f>INT(A185)</x:f>
        <x:v>45944</x:v>
      </x:c>
      <x:c r="C185" s="10" t="str">
        <x:f>TEXT(B185,"yyyy-mm")</x:f>
        <x:v>2025-10</x:v>
      </x:c>
      <x:c r="D185" s="10">
        <x:f>MONTH(B185)</x:f>
        <x:v>10</x:v>
      </x:c>
      <x:c r="E185" s="10" t="str">
        <x:f>TEXT(B185,"mmmm")</x:f>
        <x:v>October</x:v>
      </x:c>
      <x:c r="F185" s="10" t="str">
        <x:f>"Q"&amp;ROUNDUP(D185/3,0)</x:f>
        <x:v>Q4</x:v>
      </x:c>
      <x:c r="G185" s="10" t="str">
        <x:f>IF(OR(D185=12,D185&lt;=2),"Winter",IF(D185&lt;=5,"Spring",IF(D185&lt;=8,"Summer","Autumn")))</x:f>
        <x:v>Autumn</x:v>
      </x:c>
      <x:c r="H185" s="11">
        <x:f>weather_data!E185-weather_data!D185</x:f>
        <x:v>-0.6000000000000014</x:v>
      </x:c>
      <x:c r="I185" s="10">
        <x:f>IF(OR(weather_data!H185="light rain",weather_data!H185="moderate rain",weather_data!H185="drizzle",weather_data!H185="thunderstorm"),1,0)</x:f>
        <x:v>0</x:v>
      </x:c>
      <x:c r="J185" s="10">
        <x:f>IF(weather_data!I185&gt;=25,1,0)</x:f>
        <x:v>0</x:v>
      </x:c>
    </x:row>
    <x:row r="186">
      <x:c r="A186" s="8">
        <x:f>weather_data!B186</x:f>
        <x:v>45946.49305555555</x:v>
      </x:c>
      <x:c r="B186" s="9">
        <x:f>INT(A186)</x:f>
        <x:v>45946</x:v>
      </x:c>
      <x:c r="C186" s="10" t="str">
        <x:f>TEXT(B186,"yyyy-mm")</x:f>
        <x:v>2025-10</x:v>
      </x:c>
      <x:c r="D186" s="10">
        <x:f>MONTH(B186)</x:f>
        <x:v>10</x:v>
      </x:c>
      <x:c r="E186" s="10" t="str">
        <x:f>TEXT(B186,"mmmm")</x:f>
        <x:v>October</x:v>
      </x:c>
      <x:c r="F186" s="10" t="str">
        <x:f>"Q"&amp;ROUNDUP(D186/3,0)</x:f>
        <x:v>Q4</x:v>
      </x:c>
      <x:c r="G186" s="10" t="str">
        <x:f>IF(OR(D186=12,D186&lt;=2),"Winter",IF(D186&lt;=5,"Spring",IF(D186&lt;=8,"Summer","Autumn")))</x:f>
        <x:v>Autumn</x:v>
      </x:c>
      <x:c r="H186" s="11">
        <x:f>weather_data!E186-weather_data!D186</x:f>
        <x:v>0.3999999999999986</x:v>
      </x:c>
      <x:c r="I186" s="10">
        <x:f>IF(OR(weather_data!H186="light rain",weather_data!H186="moderate rain",weather_data!H186="drizzle",weather_data!H186="thunderstorm"),1,0)</x:f>
        <x:v>0</x:v>
      </x:c>
      <x:c r="J186" s="10">
        <x:f>IF(weather_data!I186&gt;=25,1,0)</x:f>
        <x:v>0</x:v>
      </x:c>
    </x:row>
    <x:row r="187">
      <x:c r="A187" s="8">
        <x:f>weather_data!B187</x:f>
        <x:v>45947.61111111111</x:v>
      </x:c>
      <x:c r="B187" s="9">
        <x:f>INT(A187)</x:f>
        <x:v>45947</x:v>
      </x:c>
      <x:c r="C187" s="10" t="str">
        <x:f>TEXT(B187,"yyyy-mm")</x:f>
        <x:v>2025-10</x:v>
      </x:c>
      <x:c r="D187" s="10">
        <x:f>MONTH(B187)</x:f>
        <x:v>10</x:v>
      </x:c>
      <x:c r="E187" s="10" t="str">
        <x:f>TEXT(B187,"mmmm")</x:f>
        <x:v>October</x:v>
      </x:c>
      <x:c r="F187" s="10" t="str">
        <x:f>"Q"&amp;ROUNDUP(D187/3,0)</x:f>
        <x:v>Q4</x:v>
      </x:c>
      <x:c r="G187" s="10" t="str">
        <x:f>IF(OR(D187=12,D187&lt;=2),"Winter",IF(D187&lt;=5,"Spring",IF(D187&lt;=8,"Summer","Autumn")))</x:f>
        <x:v>Autumn</x:v>
      </x:c>
      <x:c r="H187" s="11">
        <x:f>weather_data!E187-weather_data!D187</x:f>
        <x:v>-0.29999999999999716</x:v>
      </x:c>
      <x:c r="I187" s="10">
        <x:f>IF(OR(weather_data!H187="light rain",weather_data!H187="moderate rain",weather_data!H187="drizzle",weather_data!H187="thunderstorm"),1,0)</x:f>
        <x:v>0</x:v>
      </x:c>
      <x:c r="J187" s="10">
        <x:f>IF(weather_data!I187&gt;=25,1,0)</x:f>
        <x:v>0</x:v>
      </x:c>
    </x:row>
    <x:row r="188">
      <x:c r="A188" s="8">
        <x:f>weather_data!B188</x:f>
        <x:v>45948.89583333334</x:v>
      </x:c>
      <x:c r="B188" s="9">
        <x:f>INT(A188)</x:f>
        <x:v>45948</x:v>
      </x:c>
      <x:c r="C188" s="10" t="str">
        <x:f>TEXT(B188,"yyyy-mm")</x:f>
        <x:v>2025-10</x:v>
      </x:c>
      <x:c r="D188" s="10">
        <x:f>MONTH(B188)</x:f>
        <x:v>10</x:v>
      </x:c>
      <x:c r="E188" s="10" t="str">
        <x:f>TEXT(B188,"mmmm")</x:f>
        <x:v>October</x:v>
      </x:c>
      <x:c r="F188" s="10" t="str">
        <x:f>"Q"&amp;ROUNDUP(D188/3,0)</x:f>
        <x:v>Q4</x:v>
      </x:c>
      <x:c r="G188" s="10" t="str">
        <x:f>IF(OR(D188=12,D188&lt;=2),"Winter",IF(D188&lt;=5,"Spring",IF(D188&lt;=8,"Summer","Autumn")))</x:f>
        <x:v>Autumn</x:v>
      </x:c>
      <x:c r="H188" s="11">
        <x:f>weather_data!E188-weather_data!D188</x:f>
        <x:v>0.6999999999999993</x:v>
      </x:c>
      <x:c r="I188" s="10">
        <x:f>IF(OR(weather_data!H188="light rain",weather_data!H188="moderate rain",weather_data!H188="drizzle",weather_data!H188="thunderstorm"),1,0)</x:f>
        <x:v>1</x:v>
      </x:c>
      <x:c r="J188" s="10">
        <x:f>IF(weather_data!I188&gt;=25,1,0)</x:f>
        <x:v>0</x:v>
      </x:c>
    </x:row>
    <x:row r="189">
      <x:c r="A189" s="8">
        <x:f>weather_data!B189</x:f>
        <x:v>45949.82638888889</x:v>
      </x:c>
      <x:c r="B189" s="9">
        <x:f>INT(A189)</x:f>
        <x:v>45949</x:v>
      </x:c>
      <x:c r="C189" s="10" t="str">
        <x:f>TEXT(B189,"yyyy-mm")</x:f>
        <x:v>2025-10</x:v>
      </x:c>
      <x:c r="D189" s="10">
        <x:f>MONTH(B189)</x:f>
        <x:v>10</x:v>
      </x:c>
      <x:c r="E189" s="10" t="str">
        <x:f>TEXT(B189,"mmmm")</x:f>
        <x:v>October</x:v>
      </x:c>
      <x:c r="F189" s="10" t="str">
        <x:f>"Q"&amp;ROUNDUP(D189/3,0)</x:f>
        <x:v>Q4</x:v>
      </x:c>
      <x:c r="G189" s="10" t="str">
        <x:f>IF(OR(D189=12,D189&lt;=2),"Winter",IF(D189&lt;=5,"Spring",IF(D189&lt;=8,"Summer","Autumn")))</x:f>
        <x:v>Autumn</x:v>
      </x:c>
      <x:c r="H189" s="11">
        <x:f>weather_data!E189-weather_data!D189</x:f>
        <x:v>-0.10000000000000142</x:v>
      </x:c>
      <x:c r="I189" s="10">
        <x:f>IF(OR(weather_data!H189="light rain",weather_data!H189="moderate rain",weather_data!H189="drizzle",weather_data!H189="thunderstorm"),1,0)</x:f>
        <x:v>0</x:v>
      </x:c>
      <x:c r="J189" s="10">
        <x:f>IF(weather_data!I189&gt;=25,1,0)</x:f>
        <x:v>0</x:v>
      </x:c>
    </x:row>
    <x:row r="190">
      <x:c r="A190" s="8">
        <x:f>weather_data!B190</x:f>
        <x:v>45950.59722222222</x:v>
      </x:c>
      <x:c r="B190" s="9">
        <x:f>INT(A190)</x:f>
        <x:v>45950</x:v>
      </x:c>
      <x:c r="C190" s="10" t="str">
        <x:f>TEXT(B190,"yyyy-mm")</x:f>
        <x:v>2025-10</x:v>
      </x:c>
      <x:c r="D190" s="10">
        <x:f>MONTH(B190)</x:f>
        <x:v>10</x:v>
      </x:c>
      <x:c r="E190" s="10" t="str">
        <x:f>TEXT(B190,"mmmm")</x:f>
        <x:v>October</x:v>
      </x:c>
      <x:c r="F190" s="10" t="str">
        <x:f>"Q"&amp;ROUNDUP(D190/3,0)</x:f>
        <x:v>Q4</x:v>
      </x:c>
      <x:c r="G190" s="10" t="str">
        <x:f>IF(OR(D190=12,D190&lt;=2),"Winter",IF(D190&lt;=5,"Spring",IF(D190&lt;=8,"Summer","Autumn")))</x:f>
        <x:v>Autumn</x:v>
      </x:c>
      <x:c r="H190" s="11">
        <x:f>weather_data!E190-weather_data!D190</x:f>
        <x:v>-1.1000000000000014</x:v>
      </x:c>
      <x:c r="I190" s="10">
        <x:f>IF(OR(weather_data!H190="light rain",weather_data!H190="moderate rain",weather_data!H190="drizzle",weather_data!H190="thunderstorm"),1,0)</x:f>
        <x:v>0</x:v>
      </x:c>
      <x:c r="J190" s="10">
        <x:f>IF(weather_data!I190&gt;=25,1,0)</x:f>
        <x:v>0</x:v>
      </x:c>
    </x:row>
    <x:row r="191">
      <x:c r="A191" s="8">
        <x:f>weather_data!B191</x:f>
        <x:v>45951.54166666666</x:v>
      </x:c>
      <x:c r="B191" s="9">
        <x:f>INT(A191)</x:f>
        <x:v>45951</x:v>
      </x:c>
      <x:c r="C191" s="10" t="str">
        <x:f>TEXT(B191,"yyyy-mm")</x:f>
        <x:v>2025-10</x:v>
      </x:c>
      <x:c r="D191" s="10">
        <x:f>MONTH(B191)</x:f>
        <x:v>10</x:v>
      </x:c>
      <x:c r="E191" s="10" t="str">
        <x:f>TEXT(B191,"mmmm")</x:f>
        <x:v>October</x:v>
      </x:c>
      <x:c r="F191" s="10" t="str">
        <x:f>"Q"&amp;ROUNDUP(D191/3,0)</x:f>
        <x:v>Q4</x:v>
      </x:c>
      <x:c r="G191" s="10" t="str">
        <x:f>IF(OR(D191=12,D191&lt;=2),"Winter",IF(D191&lt;=5,"Spring",IF(D191&lt;=8,"Summer","Autumn")))</x:f>
        <x:v>Autumn</x:v>
      </x:c>
      <x:c r="H191" s="11">
        <x:f>weather_data!E191-weather_data!D191</x:f>
        <x:v>0.6000000000000014</x:v>
      </x:c>
      <x:c r="I191" s="10">
        <x:f>IF(OR(weather_data!H191="light rain",weather_data!H191="moderate rain",weather_data!H191="drizzle",weather_data!H191="thunderstorm"),1,0)</x:f>
        <x:v>0</x:v>
      </x:c>
      <x:c r="J191" s="10">
        <x:f>IF(weather_data!I191&gt;=25,1,0)</x:f>
        <x:v>0</x:v>
      </x:c>
    </x:row>
    <x:row r="192">
      <x:c r="A192" s="8">
        <x:f>weather_data!B192</x:f>
        <x:v>45952.60416666666</x:v>
      </x:c>
      <x:c r="B192" s="9">
        <x:f>INT(A192)</x:f>
        <x:v>45952</x:v>
      </x:c>
      <x:c r="C192" s="10" t="str">
        <x:f>TEXT(B192,"yyyy-mm")</x:f>
        <x:v>2025-10</x:v>
      </x:c>
      <x:c r="D192" s="10">
        <x:f>MONTH(B192)</x:f>
        <x:v>10</x:v>
      </x:c>
      <x:c r="E192" s="10" t="str">
        <x:f>TEXT(B192,"mmmm")</x:f>
        <x:v>October</x:v>
      </x:c>
      <x:c r="F192" s="10" t="str">
        <x:f>"Q"&amp;ROUNDUP(D192/3,0)</x:f>
        <x:v>Q4</x:v>
      </x:c>
      <x:c r="G192" s="10" t="str">
        <x:f>IF(OR(D192=12,D192&lt;=2),"Winter",IF(D192&lt;=5,"Spring",IF(D192&lt;=8,"Summer","Autumn")))</x:f>
        <x:v>Autumn</x:v>
      </x:c>
      <x:c r="H192" s="11">
        <x:f>weather_data!E192-weather_data!D192</x:f>
        <x:v>-0.8999999999999986</x:v>
      </x:c>
      <x:c r="I192" s="10">
        <x:f>IF(OR(weather_data!H192="light rain",weather_data!H192="moderate rain",weather_data!H192="drizzle",weather_data!H192="thunderstorm"),1,0)</x:f>
        <x:v>0</x:v>
      </x:c>
      <x:c r="J192" s="10">
        <x:f>IF(weather_data!I192&gt;=25,1,0)</x:f>
        <x:v>0</x:v>
      </x:c>
    </x:row>
    <x:row r="193">
      <x:c r="A193" s="8">
        <x:f>weather_data!B193</x:f>
        <x:v>45953.5625</x:v>
      </x:c>
      <x:c r="B193" s="9">
        <x:f>INT(A193)</x:f>
        <x:v>45953</x:v>
      </x:c>
      <x:c r="C193" s="10" t="str">
        <x:f>TEXT(B193,"yyyy-mm")</x:f>
        <x:v>2025-10</x:v>
      </x:c>
      <x:c r="D193" s="10">
        <x:f>MONTH(B193)</x:f>
        <x:v>10</x:v>
      </x:c>
      <x:c r="E193" s="10" t="str">
        <x:f>TEXT(B193,"mmmm")</x:f>
        <x:v>October</x:v>
      </x:c>
      <x:c r="F193" s="10" t="str">
        <x:f>"Q"&amp;ROUNDUP(D193/3,0)</x:f>
        <x:v>Q4</x:v>
      </x:c>
      <x:c r="G193" s="10" t="str">
        <x:f>IF(OR(D193=12,D193&lt;=2),"Winter",IF(D193&lt;=5,"Spring",IF(D193&lt;=8,"Summer","Autumn")))</x:f>
        <x:v>Autumn</x:v>
      </x:c>
      <x:c r="H193" s="11">
        <x:f>weather_data!E193-weather_data!D193</x:f>
        <x:v>1.1000000000000014</x:v>
      </x:c>
      <x:c r="I193" s="10">
        <x:f>IF(OR(weather_data!H193="light rain",weather_data!H193="moderate rain",weather_data!H193="drizzle",weather_data!H193="thunderstorm"),1,0)</x:f>
        <x:v>0</x:v>
      </x:c>
      <x:c r="J193" s="10">
        <x:f>IF(weather_data!I193&gt;=25,1,0)</x:f>
        <x:v>0</x:v>
      </x:c>
    </x:row>
    <x:row r="194">
      <x:c r="A194" s="8">
        <x:f>weather_data!B194</x:f>
        <x:v>45954.76388888889</x:v>
      </x:c>
      <x:c r="B194" s="9">
        <x:f>INT(A194)</x:f>
        <x:v>45954</x:v>
      </x:c>
      <x:c r="C194" s="10" t="str">
        <x:f>TEXT(B194,"yyyy-mm")</x:f>
        <x:v>2025-10</x:v>
      </x:c>
      <x:c r="D194" s="10">
        <x:f>MONTH(B194)</x:f>
        <x:v>10</x:v>
      </x:c>
      <x:c r="E194" s="10" t="str">
        <x:f>TEXT(B194,"mmmm")</x:f>
        <x:v>October</x:v>
      </x:c>
      <x:c r="F194" s="10" t="str">
        <x:f>"Q"&amp;ROUNDUP(D194/3,0)</x:f>
        <x:v>Q4</x:v>
      </x:c>
      <x:c r="G194" s="10" t="str">
        <x:f>IF(OR(D194=12,D194&lt;=2),"Winter",IF(D194&lt;=5,"Spring",IF(D194&lt;=8,"Summer","Autumn")))</x:f>
        <x:v>Autumn</x:v>
      </x:c>
      <x:c r="H194" s="11">
        <x:f>weather_data!E194-weather_data!D194</x:f>
        <x:v>0.20000000000000284</x:v>
      </x:c>
      <x:c r="I194" s="10">
        <x:f>IF(OR(weather_data!H194="light rain",weather_data!H194="moderate rain",weather_data!H194="drizzle",weather_data!H194="thunderstorm"),1,0)</x:f>
        <x:v>0</x:v>
      </x:c>
      <x:c r="J194" s="10">
        <x:f>IF(weather_data!I194&gt;=25,1,0)</x:f>
        <x:v>0</x:v>
      </x:c>
    </x:row>
    <x:row r="195">
      <x:c r="A195" s="8">
        <x:f>weather_data!B195</x:f>
        <x:v>45955.27083333334</x:v>
      </x:c>
      <x:c r="B195" s="9">
        <x:f>INT(A195)</x:f>
        <x:v>45955</x:v>
      </x:c>
      <x:c r="C195" s="10" t="str">
        <x:f>TEXT(B195,"yyyy-mm")</x:f>
        <x:v>2025-10</x:v>
      </x:c>
      <x:c r="D195" s="10">
        <x:f>MONTH(B195)</x:f>
        <x:v>10</x:v>
      </x:c>
      <x:c r="E195" s="10" t="str">
        <x:f>TEXT(B195,"mmmm")</x:f>
        <x:v>October</x:v>
      </x:c>
      <x:c r="F195" s="10" t="str">
        <x:f>"Q"&amp;ROUNDUP(D195/3,0)</x:f>
        <x:v>Q4</x:v>
      </x:c>
      <x:c r="G195" s="10" t="str">
        <x:f>IF(OR(D195=12,D195&lt;=2),"Winter",IF(D195&lt;=5,"Spring",IF(D195&lt;=8,"Summer","Autumn")))</x:f>
        <x:v>Autumn</x:v>
      </x:c>
      <x:c r="H195" s="11">
        <x:f>weather_data!E195-weather_data!D195</x:f>
        <x:v>-0.1999999999999993</x:v>
      </x:c>
      <x:c r="I195" s="10">
        <x:f>IF(OR(weather_data!H195="light rain",weather_data!H195="moderate rain",weather_data!H195="drizzle",weather_data!H195="thunderstorm"),1,0)</x:f>
        <x:v>0</x:v>
      </x:c>
      <x:c r="J195" s="10">
        <x:f>IF(weather_data!I195&gt;=25,1,0)</x:f>
        <x:v>0</x:v>
      </x:c>
    </x:row>
    <x:row r="196">
      <x:c r="A196" s="8">
        <x:f>weather_data!B196</x:f>
        <x:v>45956.67361111111</x:v>
      </x:c>
      <x:c r="B196" s="9">
        <x:f>INT(A196)</x:f>
        <x:v>45956</x:v>
      </x:c>
      <x:c r="C196" s="10" t="str">
        <x:f>TEXT(B196,"yyyy-mm")</x:f>
        <x:v>2025-10</x:v>
      </x:c>
      <x:c r="D196" s="10">
        <x:f>MONTH(B196)</x:f>
        <x:v>10</x:v>
      </x:c>
      <x:c r="E196" s="10" t="str">
        <x:f>TEXT(B196,"mmmm")</x:f>
        <x:v>October</x:v>
      </x:c>
      <x:c r="F196" s="10" t="str">
        <x:f>"Q"&amp;ROUNDUP(D196/3,0)</x:f>
        <x:v>Q4</x:v>
      </x:c>
      <x:c r="G196" s="10" t="str">
        <x:f>IF(OR(D196=12,D196&lt;=2),"Winter",IF(D196&lt;=5,"Spring",IF(D196&lt;=8,"Summer","Autumn")))</x:f>
        <x:v>Autumn</x:v>
      </x:c>
      <x:c r="H196" s="11">
        <x:f>weather_data!E196-weather_data!D196</x:f>
        <x:v>1.1999999999999993</x:v>
      </x:c>
      <x:c r="I196" s="10">
        <x:f>IF(OR(weather_data!H196="light rain",weather_data!H196="moderate rain",weather_data!H196="drizzle",weather_data!H196="thunderstorm"),1,0)</x:f>
        <x:v>0</x:v>
      </x:c>
      <x:c r="J196" s="10">
        <x:f>IF(weather_data!I196&gt;=25,1,0)</x:f>
        <x:v>0</x:v>
      </x:c>
    </x:row>
    <x:row r="197">
      <x:c r="A197" s="8">
        <x:f>weather_data!B197</x:f>
        <x:v>45957.88194444445</x:v>
      </x:c>
      <x:c r="B197" s="9">
        <x:f>INT(A197)</x:f>
        <x:v>45957</x:v>
      </x:c>
      <x:c r="C197" s="10" t="str">
        <x:f>TEXT(B197,"yyyy-mm")</x:f>
        <x:v>2025-10</x:v>
      </x:c>
      <x:c r="D197" s="10">
        <x:f>MONTH(B197)</x:f>
        <x:v>10</x:v>
      </x:c>
      <x:c r="E197" s="10" t="str">
        <x:f>TEXT(B197,"mmmm")</x:f>
        <x:v>October</x:v>
      </x:c>
      <x:c r="F197" s="10" t="str">
        <x:f>"Q"&amp;ROUNDUP(D197/3,0)</x:f>
        <x:v>Q4</x:v>
      </x:c>
      <x:c r="G197" s="10" t="str">
        <x:f>IF(OR(D197=12,D197&lt;=2),"Winter",IF(D197&lt;=5,"Spring",IF(D197&lt;=8,"Summer","Autumn")))</x:f>
        <x:v>Autumn</x:v>
      </x:c>
      <x:c r="H197" s="11">
        <x:f>weather_data!E197-weather_data!D197</x:f>
        <x:v>-0.3000000000000007</x:v>
      </x:c>
      <x:c r="I197" s="10">
        <x:f>IF(OR(weather_data!H197="light rain",weather_data!H197="moderate rain",weather_data!H197="drizzle",weather_data!H197="thunderstorm"),1,0)</x:f>
        <x:v>0</x:v>
      </x:c>
      <x:c r="J197" s="10">
        <x:f>IF(weather_data!I197&gt;=25,1,0)</x:f>
        <x:v>0</x:v>
      </x:c>
    </x:row>
    <x:row r="198">
      <x:c r="A198" s="8">
        <x:f>weather_data!B198</x:f>
        <x:v>45958.72222222222</x:v>
      </x:c>
      <x:c r="B198" s="9">
        <x:f>INT(A198)</x:f>
        <x:v>45958</x:v>
      </x:c>
      <x:c r="C198" s="10" t="str">
        <x:f>TEXT(B198,"yyyy-mm")</x:f>
        <x:v>2025-10</x:v>
      </x:c>
      <x:c r="D198" s="10">
        <x:f>MONTH(B198)</x:f>
        <x:v>10</x:v>
      </x:c>
      <x:c r="E198" s="10" t="str">
        <x:f>TEXT(B198,"mmmm")</x:f>
        <x:v>October</x:v>
      </x:c>
      <x:c r="F198" s="10" t="str">
        <x:f>"Q"&amp;ROUNDUP(D198/3,0)</x:f>
        <x:v>Q4</x:v>
      </x:c>
      <x:c r="G198" s="10" t="str">
        <x:f>IF(OR(D198=12,D198&lt;=2),"Winter",IF(D198&lt;=5,"Spring",IF(D198&lt;=8,"Summer","Autumn")))</x:f>
        <x:v>Autumn</x:v>
      </x:c>
      <x:c r="H198" s="11">
        <x:f>weather_data!E198-weather_data!D198</x:f>
        <x:v>-1</x:v>
      </x:c>
      <x:c r="I198" s="10">
        <x:f>IF(OR(weather_data!H198="light rain",weather_data!H198="moderate rain",weather_data!H198="drizzle",weather_data!H198="thunderstorm"),1,0)</x:f>
        <x:v>0</x:v>
      </x:c>
      <x:c r="J198" s="10">
        <x:f>IF(weather_data!I198&gt;=25,1,0)</x:f>
        <x:v>0</x:v>
      </x:c>
    </x:row>
    <x:row r="199">
      <x:c r="A199" s="8">
        <x:f>weather_data!B199</x:f>
        <x:v>45959.68055555555</x:v>
      </x:c>
      <x:c r="B199" s="9">
        <x:f>INT(A199)</x:f>
        <x:v>45959</x:v>
      </x:c>
      <x:c r="C199" s="10" t="str">
        <x:f>TEXT(B199,"yyyy-mm")</x:f>
        <x:v>2025-10</x:v>
      </x:c>
      <x:c r="D199" s="10">
        <x:f>MONTH(B199)</x:f>
        <x:v>10</x:v>
      </x:c>
      <x:c r="E199" s="10" t="str">
        <x:f>TEXT(B199,"mmmm")</x:f>
        <x:v>October</x:v>
      </x:c>
      <x:c r="F199" s="10" t="str">
        <x:f>"Q"&amp;ROUNDUP(D199/3,0)</x:f>
        <x:v>Q4</x:v>
      </x:c>
      <x:c r="G199" s="10" t="str">
        <x:f>IF(OR(D199=12,D199&lt;=2),"Winter",IF(D199&lt;=5,"Spring",IF(D199&lt;=8,"Summer","Autumn")))</x:f>
        <x:v>Autumn</x:v>
      </x:c>
      <x:c r="H199" s="11">
        <x:f>weather_data!E199-weather_data!D199</x:f>
        <x:v>0.3999999999999986</x:v>
      </x:c>
      <x:c r="I199" s="10">
        <x:f>IF(OR(weather_data!H199="light rain",weather_data!H199="moderate rain",weather_data!H199="drizzle",weather_data!H199="thunderstorm"),1,0)</x:f>
        <x:v>0</x:v>
      </x:c>
      <x:c r="J199" s="10">
        <x:f>IF(weather_data!I199&gt;=25,1,0)</x:f>
        <x:v>0</x:v>
      </x:c>
    </x:row>
    <x:row r="200">
      <x:c r="A200" s="8">
        <x:f>weather_data!B200</x:f>
        <x:v>45960.61111111111</x:v>
      </x:c>
      <x:c r="B200" s="9">
        <x:f>INT(A200)</x:f>
        <x:v>45960</x:v>
      </x:c>
      <x:c r="C200" s="10" t="str">
        <x:f>TEXT(B200,"yyyy-mm")</x:f>
        <x:v>2025-10</x:v>
      </x:c>
      <x:c r="D200" s="10">
        <x:f>MONTH(B200)</x:f>
        <x:v>10</x:v>
      </x:c>
      <x:c r="E200" s="10" t="str">
        <x:f>TEXT(B200,"mmmm")</x:f>
        <x:v>October</x:v>
      </x:c>
      <x:c r="F200" s="10" t="str">
        <x:f>"Q"&amp;ROUNDUP(D200/3,0)</x:f>
        <x:v>Q4</x:v>
      </x:c>
      <x:c r="G200" s="10" t="str">
        <x:f>IF(OR(D200=12,D200&lt;=2),"Winter",IF(D200&lt;=5,"Spring",IF(D200&lt;=8,"Summer","Autumn")))</x:f>
        <x:v>Autumn</x:v>
      </x:c>
      <x:c r="H200" s="11">
        <x:f>weather_data!E200-weather_data!D200</x:f>
        <x:v>-0.6000000000000014</x:v>
      </x:c>
      <x:c r="I200" s="10">
        <x:f>IF(OR(weather_data!H200="light rain",weather_data!H200="moderate rain",weather_data!H200="drizzle",weather_data!H200="thunderstorm"),1,0)</x:f>
        <x:v>0</x:v>
      </x:c>
      <x:c r="J200" s="10">
        <x:f>IF(weather_data!I200&gt;=25,1,0)</x:f>
        <x:v>0</x:v>
      </x:c>
    </x:row>
    <x:row r="201">
      <x:c r="A201" s="8">
        <x:f>weather_data!B201</x:f>
        <x:v>45961.27777777778</x:v>
      </x:c>
      <x:c r="B201" s="9">
        <x:f>INT(A201)</x:f>
        <x:v>45961</x:v>
      </x:c>
      <x:c r="C201" s="10" t="str">
        <x:f>TEXT(B201,"yyyy-mm")</x:f>
        <x:v>2025-10</x:v>
      </x:c>
      <x:c r="D201" s="10">
        <x:f>MONTH(B201)</x:f>
        <x:v>10</x:v>
      </x:c>
      <x:c r="E201" s="10" t="str">
        <x:f>TEXT(B201,"mmmm")</x:f>
        <x:v>October</x:v>
      </x:c>
      <x:c r="F201" s="10" t="str">
        <x:f>"Q"&amp;ROUNDUP(D201/3,0)</x:f>
        <x:v>Q4</x:v>
      </x:c>
      <x:c r="G201" s="10" t="str">
        <x:f>IF(OR(D201=12,D201&lt;=2),"Winter",IF(D201&lt;=5,"Spring",IF(D201&lt;=8,"Summer","Autumn")))</x:f>
        <x:v>Autumn</x:v>
      </x:c>
      <x:c r="H201" s="11">
        <x:f>weather_data!E201-weather_data!D201</x:f>
        <x:v>-0.5</x:v>
      </x:c>
      <x:c r="I201" s="10">
        <x:f>IF(OR(weather_data!H201="light rain",weather_data!H201="moderate rain",weather_data!H201="drizzle",weather_data!H201="thunderstorm"),1,0)</x:f>
        <x:v>0</x:v>
      </x:c>
      <x:c r="J201" s="10">
        <x:f>IF(weather_data!I201&gt;=25,1,0)</x:f>
        <x:v>0</x:v>
      </x:c>
    </x:row>
    <x:row r="202">
      <x:c r="A202" s="8">
        <x:f>weather_data!B202</x:f>
        <x:v>45962.5</x:v>
      </x:c>
      <x:c r="B202" s="9">
        <x:f>INT(A202)</x:f>
        <x:v>45962</x:v>
      </x:c>
      <x:c r="C202" s="10" t="str">
        <x:f>TEXT(B202,"yyyy-mm")</x:f>
        <x:v>2025-11</x:v>
      </x:c>
      <x:c r="D202" s="10">
        <x:f>MONTH(B202)</x:f>
        <x:v>11</x:v>
      </x:c>
      <x:c r="E202" s="10" t="str">
        <x:f>TEXT(B202,"mmmm")</x:f>
        <x:v>November</x:v>
      </x:c>
      <x:c r="F202" s="10" t="str">
        <x:f>"Q"&amp;ROUNDUP(D202/3,0)</x:f>
        <x:v>Q4</x:v>
      </x:c>
      <x:c r="G202" s="10" t="str">
        <x:f>IF(OR(D202=12,D202&lt;=2),"Winter",IF(D202&lt;=5,"Spring",IF(D202&lt;=8,"Summer","Autumn")))</x:f>
        <x:v>Autumn</x:v>
      </x:c>
      <x:c r="H202" s="11">
        <x:f>weather_data!E202-weather_data!D202</x:f>
        <x:v>0.9000000000000021</x:v>
      </x:c>
      <x:c r="I202" s="10">
        <x:f>IF(OR(weather_data!H202="light rain",weather_data!H202="moderate rain",weather_data!H202="drizzle",weather_data!H202="thunderstorm"),1,0)</x:f>
        <x:v>0</x:v>
      </x:c>
      <x:c r="J202" s="10">
        <x:f>IF(weather_data!I202&gt;=25,1,0)</x:f>
        <x:v>0</x:v>
      </x:c>
    </x:row>
    <x:row r="203">
      <x:c r="A203" s="8">
        <x:f>weather_data!B203</x:f>
        <x:v>45963.57638888889</x:v>
      </x:c>
      <x:c r="B203" s="9">
        <x:f>INT(A203)</x:f>
        <x:v>45963</x:v>
      </x:c>
      <x:c r="C203" s="10" t="str">
        <x:f>TEXT(B203,"yyyy-mm")</x:f>
        <x:v>2025-11</x:v>
      </x:c>
      <x:c r="D203" s="10">
        <x:f>MONTH(B203)</x:f>
        <x:v>11</x:v>
      </x:c>
      <x:c r="E203" s="10" t="str">
        <x:f>TEXT(B203,"mmmm")</x:f>
        <x:v>November</x:v>
      </x:c>
      <x:c r="F203" s="10" t="str">
        <x:f>"Q"&amp;ROUNDUP(D203/3,0)</x:f>
        <x:v>Q4</x:v>
      </x:c>
      <x:c r="G203" s="10" t="str">
        <x:f>IF(OR(D203=12,D203&lt;=2),"Winter",IF(D203&lt;=5,"Spring",IF(D203&lt;=8,"Summer","Autumn")))</x:f>
        <x:v>Autumn</x:v>
      </x:c>
      <x:c r="H203" s="11">
        <x:f>weather_data!E203-weather_data!D203</x:f>
        <x:v>-0.40000000000000036</x:v>
      </x:c>
      <x:c r="I203" s="10">
        <x:f>IF(OR(weather_data!H203="light rain",weather_data!H203="moderate rain",weather_data!H203="drizzle",weather_data!H203="thunderstorm"),1,0)</x:f>
        <x:v>0</x:v>
      </x:c>
      <x:c r="J203" s="10">
        <x:f>IF(weather_data!I203&gt;=25,1,0)</x:f>
        <x:v>0</x:v>
      </x:c>
    </x:row>
    <x:row r="204">
      <x:c r="A204" s="8">
        <x:f>weather_data!B204</x:f>
        <x:v>45964.8125</x:v>
      </x:c>
      <x:c r="B204" s="9">
        <x:f>INT(A204)</x:f>
        <x:v>45964</x:v>
      </x:c>
      <x:c r="C204" s="10" t="str">
        <x:f>TEXT(B204,"yyyy-mm")</x:f>
        <x:v>2025-11</x:v>
      </x:c>
      <x:c r="D204" s="10">
        <x:f>MONTH(B204)</x:f>
        <x:v>11</x:v>
      </x:c>
      <x:c r="E204" s="10" t="str">
        <x:f>TEXT(B204,"mmmm")</x:f>
        <x:v>November</x:v>
      </x:c>
      <x:c r="F204" s="10" t="str">
        <x:f>"Q"&amp;ROUNDUP(D204/3,0)</x:f>
        <x:v>Q4</x:v>
      </x:c>
      <x:c r="G204" s="10" t="str">
        <x:f>IF(OR(D204=12,D204&lt;=2),"Winter",IF(D204&lt;=5,"Spring",IF(D204&lt;=8,"Summer","Autumn")))</x:f>
        <x:v>Autumn</x:v>
      </x:c>
      <x:c r="H204" s="11">
        <x:f>weather_data!E204-weather_data!D204</x:f>
        <x:v>0.7000000000000028</x:v>
      </x:c>
      <x:c r="I204" s="10">
        <x:f>IF(OR(weather_data!H204="light rain",weather_data!H204="moderate rain",weather_data!H204="drizzle",weather_data!H204="thunderstorm"),1,0)</x:f>
        <x:v>0</x:v>
      </x:c>
      <x:c r="J204" s="10">
        <x:f>IF(weather_data!I204&gt;=25,1,0)</x:f>
        <x:v>0</x:v>
      </x:c>
    </x:row>
    <x:row r="205">
      <x:c r="A205" s="8">
        <x:f>weather_data!B205</x:f>
        <x:v>45965.57638888889</x:v>
      </x:c>
      <x:c r="B205" s="9">
        <x:f>INT(A205)</x:f>
        <x:v>45965</x:v>
      </x:c>
      <x:c r="C205" s="10" t="str">
        <x:f>TEXT(B205,"yyyy-mm")</x:f>
        <x:v>2025-11</x:v>
      </x:c>
      <x:c r="D205" s="10">
        <x:f>MONTH(B205)</x:f>
        <x:v>11</x:v>
      </x:c>
      <x:c r="E205" s="10" t="str">
        <x:f>TEXT(B205,"mmmm")</x:f>
        <x:v>November</x:v>
      </x:c>
      <x:c r="F205" s="10" t="str">
        <x:f>"Q"&amp;ROUNDUP(D205/3,0)</x:f>
        <x:v>Q4</x:v>
      </x:c>
      <x:c r="G205" s="10" t="str">
        <x:f>IF(OR(D205=12,D205&lt;=2),"Winter",IF(D205&lt;=5,"Spring",IF(D205&lt;=8,"Summer","Autumn")))</x:f>
        <x:v>Autumn</x:v>
      </x:c>
      <x:c r="H205" s="11">
        <x:f>weather_data!E205-weather_data!D205</x:f>
        <x:v>-0.40000000000000213</x:v>
      </x:c>
      <x:c r="I205" s="10">
        <x:f>IF(OR(weather_data!H205="light rain",weather_data!H205="moderate rain",weather_data!H205="drizzle",weather_data!H205="thunderstorm"),1,0)</x:f>
        <x:v>0</x:v>
      </x:c>
      <x:c r="J205" s="10">
        <x:f>IF(weather_data!I205&gt;=25,1,0)</x:f>
        <x:v>0</x:v>
      </x:c>
    </x:row>
    <x:row r="206">
      <x:c r="A206" s="8">
        <x:f>weather_data!B206</x:f>
        <x:v>45966.90972222222</x:v>
      </x:c>
      <x:c r="B206" s="9">
        <x:f>INT(A206)</x:f>
        <x:v>45966</x:v>
      </x:c>
      <x:c r="C206" s="10" t="str">
        <x:f>TEXT(B206,"yyyy-mm")</x:f>
        <x:v>2025-11</x:v>
      </x:c>
      <x:c r="D206" s="10">
        <x:f>MONTH(B206)</x:f>
        <x:v>11</x:v>
      </x:c>
      <x:c r="E206" s="10" t="str">
        <x:f>TEXT(B206,"mmmm")</x:f>
        <x:v>November</x:v>
      </x:c>
      <x:c r="F206" s="10" t="str">
        <x:f>"Q"&amp;ROUNDUP(D206/3,0)</x:f>
        <x:v>Q4</x:v>
      </x:c>
      <x:c r="G206" s="10" t="str">
        <x:f>IF(OR(D206=12,D206&lt;=2),"Winter",IF(D206&lt;=5,"Spring",IF(D206&lt;=8,"Summer","Autumn")))</x:f>
        <x:v>Autumn</x:v>
      </x:c>
      <x:c r="H206" s="11">
        <x:f>weather_data!E206-weather_data!D206</x:f>
        <x:v>1.2000000000000028</x:v>
      </x:c>
      <x:c r="I206" s="10">
        <x:f>IF(OR(weather_data!H206="light rain",weather_data!H206="moderate rain",weather_data!H206="drizzle",weather_data!H206="thunderstorm"),1,0)</x:f>
        <x:v>0</x:v>
      </x:c>
      <x:c r="J206" s="10">
        <x:f>IF(weather_data!I206&gt;=25,1,0)</x:f>
        <x:v>0</x:v>
      </x:c>
    </x:row>
    <x:row r="207">
      <x:c r="A207" s="8">
        <x:f>weather_data!B207</x:f>
        <x:v>45967.89583333334</x:v>
      </x:c>
      <x:c r="B207" s="9">
        <x:f>INT(A207)</x:f>
        <x:v>45967</x:v>
      </x:c>
      <x:c r="C207" s="10" t="str">
        <x:f>TEXT(B207,"yyyy-mm")</x:f>
        <x:v>2025-11</x:v>
      </x:c>
      <x:c r="D207" s="10">
        <x:f>MONTH(B207)</x:f>
        <x:v>11</x:v>
      </x:c>
      <x:c r="E207" s="10" t="str">
        <x:f>TEXT(B207,"mmmm")</x:f>
        <x:v>November</x:v>
      </x:c>
      <x:c r="F207" s="10" t="str">
        <x:f>"Q"&amp;ROUNDUP(D207/3,0)</x:f>
        <x:v>Q4</x:v>
      </x:c>
      <x:c r="G207" s="10" t="str">
        <x:f>IF(OR(D207=12,D207&lt;=2),"Winter",IF(D207&lt;=5,"Spring",IF(D207&lt;=8,"Summer","Autumn")))</x:f>
        <x:v>Autumn</x:v>
      </x:c>
      <x:c r="H207" s="11">
        <x:f>weather_data!E207-weather_data!D207</x:f>
        <x:v>-0.3999999999999986</x:v>
      </x:c>
      <x:c r="I207" s="10">
        <x:f>IF(OR(weather_data!H207="light rain",weather_data!H207="moderate rain",weather_data!H207="drizzle",weather_data!H207="thunderstorm"),1,0)</x:f>
        <x:v>1</x:v>
      </x:c>
      <x:c r="J207" s="10">
        <x:f>IF(weather_data!I207&gt;=25,1,0)</x:f>
        <x:v>1</x:v>
      </x:c>
    </x:row>
    <x:row r="208">
      <x:c r="A208" s="8">
        <x:f>weather_data!B208</x:f>
        <x:v>45968.25</x:v>
      </x:c>
      <x:c r="B208" s="9">
        <x:f>INT(A208)</x:f>
        <x:v>45968</x:v>
      </x:c>
      <x:c r="C208" s="10" t="str">
        <x:f>TEXT(B208,"yyyy-mm")</x:f>
        <x:v>2025-11</x:v>
      </x:c>
      <x:c r="D208" s="10">
        <x:f>MONTH(B208)</x:f>
        <x:v>11</x:v>
      </x:c>
      <x:c r="E208" s="10" t="str">
        <x:f>TEXT(B208,"mmmm")</x:f>
        <x:v>November</x:v>
      </x:c>
      <x:c r="F208" s="10" t="str">
        <x:f>"Q"&amp;ROUNDUP(D208/3,0)</x:f>
        <x:v>Q4</x:v>
      </x:c>
      <x:c r="G208" s="10" t="str">
        <x:f>IF(OR(D208=12,D208&lt;=2),"Winter",IF(D208&lt;=5,"Spring",IF(D208&lt;=8,"Summer","Autumn")))</x:f>
        <x:v>Autumn</x:v>
      </x:c>
      <x:c r="H208" s="11">
        <x:f>weather_data!E208-weather_data!D208</x:f>
        <x:v>-1.1000000000000014</x:v>
      </x:c>
      <x:c r="I208" s="10">
        <x:f>IF(OR(weather_data!H208="light rain",weather_data!H208="moderate rain",weather_data!H208="drizzle",weather_data!H208="thunderstorm"),1,0)</x:f>
        <x:v>0</x:v>
      </x:c>
      <x:c r="J208" s="10">
        <x:f>IF(weather_data!I208&gt;=25,1,0)</x:f>
        <x:v>0</x:v>
      </x:c>
    </x:row>
    <x:row r="209">
      <x:c r="A209" s="8">
        <x:f>weather_data!B209</x:f>
        <x:v>45970.63194444445</x:v>
      </x:c>
      <x:c r="B209" s="9">
        <x:f>INT(A209)</x:f>
        <x:v>45970</x:v>
      </x:c>
      <x:c r="C209" s="10" t="str">
        <x:f>TEXT(B209,"yyyy-mm")</x:f>
        <x:v>2025-11</x:v>
      </x:c>
      <x:c r="D209" s="10">
        <x:f>MONTH(B209)</x:f>
        <x:v>11</x:v>
      </x:c>
      <x:c r="E209" s="10" t="str">
        <x:f>TEXT(B209,"mmmm")</x:f>
        <x:v>November</x:v>
      </x:c>
      <x:c r="F209" s="10" t="str">
        <x:f>"Q"&amp;ROUNDUP(D209/3,0)</x:f>
        <x:v>Q4</x:v>
      </x:c>
      <x:c r="G209" s="10" t="str">
        <x:f>IF(OR(D209=12,D209&lt;=2),"Winter",IF(D209&lt;=5,"Spring",IF(D209&lt;=8,"Summer","Autumn")))</x:f>
        <x:v>Autumn</x:v>
      </x:c>
      <x:c r="H209" s="11">
        <x:f>weather_data!E209-weather_data!D209</x:f>
        <x:v>1</x:v>
      </x:c>
      <x:c r="I209" s="10">
        <x:f>IF(OR(weather_data!H209="light rain",weather_data!H209="moderate rain",weather_data!H209="drizzle",weather_data!H209="thunderstorm"),1,0)</x:f>
        <x:v>0</x:v>
      </x:c>
      <x:c r="J209" s="10">
        <x:f>IF(weather_data!I209&gt;=25,1,0)</x:f>
        <x:v>0</x:v>
      </x:c>
    </x:row>
    <x:row r="210">
      <x:c r="A210" s="8">
        <x:f>weather_data!B210</x:f>
        <x:v>45971.78472222222</x:v>
      </x:c>
      <x:c r="B210" s="9">
        <x:f>INT(A210)</x:f>
        <x:v>45971</x:v>
      </x:c>
      <x:c r="C210" s="10" t="str">
        <x:f>TEXT(B210,"yyyy-mm")</x:f>
        <x:v>2025-11</x:v>
      </x:c>
      <x:c r="D210" s="10">
        <x:f>MONTH(B210)</x:f>
        <x:v>11</x:v>
      </x:c>
      <x:c r="E210" s="10" t="str">
        <x:f>TEXT(B210,"mmmm")</x:f>
        <x:v>November</x:v>
      </x:c>
      <x:c r="F210" s="10" t="str">
        <x:f>"Q"&amp;ROUNDUP(D210/3,0)</x:f>
        <x:v>Q4</x:v>
      </x:c>
      <x:c r="G210" s="10" t="str">
        <x:f>IF(OR(D210=12,D210&lt;=2),"Winter",IF(D210&lt;=5,"Spring",IF(D210&lt;=8,"Summer","Autumn")))</x:f>
        <x:v>Autumn</x:v>
      </x:c>
      <x:c r="H210" s="11">
        <x:f>weather_data!E210-weather_data!D210</x:f>
        <x:v>0.1999999999999993</x:v>
      </x:c>
      <x:c r="I210" s="10">
        <x:f>IF(OR(weather_data!H210="light rain",weather_data!H210="moderate rain",weather_data!H210="drizzle",weather_data!H210="thunderstorm"),1,0)</x:f>
        <x:v>1</x:v>
      </x:c>
      <x:c r="J210" s="10">
        <x:f>IF(weather_data!I210&gt;=25,1,0)</x:f>
        <x:v>0</x:v>
      </x:c>
    </x:row>
    <x:row r="211">
      <x:c r="A211" s="8">
        <x:f>weather_data!B211</x:f>
        <x:v>45972.55555555555</x:v>
      </x:c>
      <x:c r="B211" s="9">
        <x:f>INT(A211)</x:f>
        <x:v>45972</x:v>
      </x:c>
      <x:c r="C211" s="10" t="str">
        <x:f>TEXT(B211,"yyyy-mm")</x:f>
        <x:v>2025-11</x:v>
      </x:c>
      <x:c r="D211" s="10">
        <x:f>MONTH(B211)</x:f>
        <x:v>11</x:v>
      </x:c>
      <x:c r="E211" s="10" t="str">
        <x:f>TEXT(B211,"mmmm")</x:f>
        <x:v>November</x:v>
      </x:c>
      <x:c r="F211" s="10" t="str">
        <x:f>"Q"&amp;ROUNDUP(D211/3,0)</x:f>
        <x:v>Q4</x:v>
      </x:c>
      <x:c r="G211" s="10" t="str">
        <x:f>IF(OR(D211=12,D211&lt;=2),"Winter",IF(D211&lt;=5,"Spring",IF(D211&lt;=8,"Summer","Autumn")))</x:f>
        <x:v>Autumn</x:v>
      </x:c>
      <x:c r="H211" s="11">
        <x:f>weather_data!E211-weather_data!D211</x:f>
        <x:v>0.3000000000000007</x:v>
      </x:c>
      <x:c r="I211" s="10">
        <x:f>IF(OR(weather_data!H211="light rain",weather_data!H211="moderate rain",weather_data!H211="drizzle",weather_data!H211="thunderstorm"),1,0)</x:f>
        <x:v>1</x:v>
      </x:c>
      <x:c r="J211" s="10">
        <x:f>IF(weather_data!I211&gt;=25,1,0)</x:f>
        <x:v>0</x:v>
      </x:c>
    </x:row>
    <x:row r="212">
      <x:c r="A212" s="8">
        <x:f>weather_data!B212</x:f>
        <x:v>45973.72916666666</x:v>
      </x:c>
      <x:c r="B212" s="9">
        <x:f>INT(A212)</x:f>
        <x:v>45973</x:v>
      </x:c>
      <x:c r="C212" s="10" t="str">
        <x:f>TEXT(B212,"yyyy-mm")</x:f>
        <x:v>2025-11</x:v>
      </x:c>
      <x:c r="D212" s="10">
        <x:f>MONTH(B212)</x:f>
        <x:v>11</x:v>
      </x:c>
      <x:c r="E212" s="10" t="str">
        <x:f>TEXT(B212,"mmmm")</x:f>
        <x:v>November</x:v>
      </x:c>
      <x:c r="F212" s="10" t="str">
        <x:f>"Q"&amp;ROUNDUP(D212/3,0)</x:f>
        <x:v>Q4</x:v>
      </x:c>
      <x:c r="G212" s="10" t="str">
        <x:f>IF(OR(D212=12,D212&lt;=2),"Winter",IF(D212&lt;=5,"Spring",IF(D212&lt;=8,"Summer","Autumn")))</x:f>
        <x:v>Autumn</x:v>
      </x:c>
      <x:c r="H212" s="11">
        <x:f>weather_data!E212-weather_data!D212</x:f>
        <x:v>-0.5</x:v>
      </x:c>
      <x:c r="I212" s="10">
        <x:f>IF(OR(weather_data!H212="light rain",weather_data!H212="moderate rain",weather_data!H212="drizzle",weather_data!H212="thunderstorm"),1,0)</x:f>
        <x:v>0</x:v>
      </x:c>
      <x:c r="J212" s="10">
        <x:f>IF(weather_data!I212&gt;=25,1,0)</x:f>
        <x:v>0</x:v>
      </x:c>
    </x:row>
    <x:row r="213">
      <x:c r="A213" s="8">
        <x:f>weather_data!B213</x:f>
        <x:v>45974.72916666666</x:v>
      </x:c>
      <x:c r="B213" s="9">
        <x:f>INT(A213)</x:f>
        <x:v>45974</x:v>
      </x:c>
      <x:c r="C213" s="10" t="str">
        <x:f>TEXT(B213,"yyyy-mm")</x:f>
        <x:v>2025-11</x:v>
      </x:c>
      <x:c r="D213" s="10">
        <x:f>MONTH(B213)</x:f>
        <x:v>11</x:v>
      </x:c>
      <x:c r="E213" s="10" t="str">
        <x:f>TEXT(B213,"mmmm")</x:f>
        <x:v>November</x:v>
      </x:c>
      <x:c r="F213" s="10" t="str">
        <x:f>"Q"&amp;ROUNDUP(D213/3,0)</x:f>
        <x:v>Q4</x:v>
      </x:c>
      <x:c r="G213" s="10" t="str">
        <x:f>IF(OR(D213=12,D213&lt;=2),"Winter",IF(D213&lt;=5,"Spring",IF(D213&lt;=8,"Summer","Autumn")))</x:f>
        <x:v>Autumn</x:v>
      </x:c>
      <x:c r="H213" s="11">
        <x:f>weather_data!E213-weather_data!D213</x:f>
        <x:v>-1</x:v>
      </x:c>
      <x:c r="I213" s="10">
        <x:f>IF(OR(weather_data!H213="light rain",weather_data!H213="moderate rain",weather_data!H213="drizzle",weather_data!H213="thunderstorm"),1,0)</x:f>
        <x:v>0</x:v>
      </x:c>
      <x:c r="J213" s="10">
        <x:f>IF(weather_data!I213&gt;=25,1,0)</x:f>
        <x:v>0</x:v>
      </x:c>
    </x:row>
    <x:row r="214">
      <x:c r="A214" s="8">
        <x:f>weather_data!B214</x:f>
        <x:v>45975.68055555555</x:v>
      </x:c>
      <x:c r="B214" s="9">
        <x:f>INT(A214)</x:f>
        <x:v>45975</x:v>
      </x:c>
      <x:c r="C214" s="10" t="str">
        <x:f>TEXT(B214,"yyyy-mm")</x:f>
        <x:v>2025-11</x:v>
      </x:c>
      <x:c r="D214" s="10">
        <x:f>MONTH(B214)</x:f>
        <x:v>11</x:v>
      </x:c>
      <x:c r="E214" s="10" t="str">
        <x:f>TEXT(B214,"mmmm")</x:f>
        <x:v>November</x:v>
      </x:c>
      <x:c r="F214" s="10" t="str">
        <x:f>"Q"&amp;ROUNDUP(D214/3,0)</x:f>
        <x:v>Q4</x:v>
      </x:c>
      <x:c r="G214" s="10" t="str">
        <x:f>IF(OR(D214=12,D214&lt;=2),"Winter",IF(D214&lt;=5,"Spring",IF(D214&lt;=8,"Summer","Autumn")))</x:f>
        <x:v>Autumn</x:v>
      </x:c>
      <x:c r="H214" s="11">
        <x:f>weather_data!E214-weather_data!D214</x:f>
        <x:v>-0.5</x:v>
      </x:c>
      <x:c r="I214" s="10">
        <x:f>IF(OR(weather_data!H214="light rain",weather_data!H214="moderate rain",weather_data!H214="drizzle",weather_data!H214="thunderstorm"),1,0)</x:f>
        <x:v>0</x:v>
      </x:c>
      <x:c r="J214" s="10">
        <x:f>IF(weather_data!I214&gt;=25,1,0)</x:f>
        <x:v>0</x:v>
      </x:c>
    </x:row>
    <x:row r="215">
      <x:c r="A215" s="8">
        <x:f>weather_data!B215</x:f>
        <x:v>45976.84722222222</x:v>
      </x:c>
      <x:c r="B215" s="9">
        <x:f>INT(A215)</x:f>
        <x:v>45976</x:v>
      </x:c>
      <x:c r="C215" s="10" t="str">
        <x:f>TEXT(B215,"yyyy-mm")</x:f>
        <x:v>2025-11</x:v>
      </x:c>
      <x:c r="D215" s="10">
        <x:f>MONTH(B215)</x:f>
        <x:v>11</x:v>
      </x:c>
      <x:c r="E215" s="10" t="str">
        <x:f>TEXT(B215,"mmmm")</x:f>
        <x:v>November</x:v>
      </x:c>
      <x:c r="F215" s="10" t="str">
        <x:f>"Q"&amp;ROUNDUP(D215/3,0)</x:f>
        <x:v>Q4</x:v>
      </x:c>
      <x:c r="G215" s="10" t="str">
        <x:f>IF(OR(D215=12,D215&lt;=2),"Winter",IF(D215&lt;=5,"Spring",IF(D215&lt;=8,"Summer","Autumn")))</x:f>
        <x:v>Autumn</x:v>
      </x:c>
      <x:c r="H215" s="11">
        <x:f>weather_data!E215-weather_data!D215</x:f>
        <x:v>-0.8999999999999986</x:v>
      </x:c>
      <x:c r="I215" s="10">
        <x:f>IF(OR(weather_data!H215="light rain",weather_data!H215="moderate rain",weather_data!H215="drizzle",weather_data!H215="thunderstorm"),1,0)</x:f>
        <x:v>1</x:v>
      </x:c>
      <x:c r="J215" s="10">
        <x:f>IF(weather_data!I215&gt;=25,1,0)</x:f>
        <x:v>1</x:v>
      </x:c>
    </x:row>
    <x:row r="216">
      <x:c r="A216" s="8">
        <x:f>weather_data!B216</x:f>
        <x:v>45977.63888888889</x:v>
      </x:c>
      <x:c r="B216" s="9">
        <x:f>INT(A216)</x:f>
        <x:v>45977</x:v>
      </x:c>
      <x:c r="C216" s="10" t="str">
        <x:f>TEXT(B216,"yyyy-mm")</x:f>
        <x:v>2025-11</x:v>
      </x:c>
      <x:c r="D216" s="10">
        <x:f>MONTH(B216)</x:f>
        <x:v>11</x:v>
      </x:c>
      <x:c r="E216" s="10" t="str">
        <x:f>TEXT(B216,"mmmm")</x:f>
        <x:v>November</x:v>
      </x:c>
      <x:c r="F216" s="10" t="str">
        <x:f>"Q"&amp;ROUNDUP(D216/3,0)</x:f>
        <x:v>Q4</x:v>
      </x:c>
      <x:c r="G216" s="10" t="str">
        <x:f>IF(OR(D216=12,D216&lt;=2),"Winter",IF(D216&lt;=5,"Spring",IF(D216&lt;=8,"Summer","Autumn")))</x:f>
        <x:v>Autumn</x:v>
      </x:c>
      <x:c r="H216" s="11">
        <x:f>weather_data!E216-weather_data!D216</x:f>
        <x:v>1</x:v>
      </x:c>
      <x:c r="I216" s="10">
        <x:f>IF(OR(weather_data!H216="light rain",weather_data!H216="moderate rain",weather_data!H216="drizzle",weather_data!H216="thunderstorm"),1,0)</x:f>
        <x:v>0</x:v>
      </x:c>
      <x:c r="J216" s="10">
        <x:f>IF(weather_data!I216&gt;=25,1,0)</x:f>
        <x:v>0</x:v>
      </x:c>
    </x:row>
    <x:row r="217">
      <x:c r="A217" s="8">
        <x:f>weather_data!B217</x:f>
        <x:v>45978.54166666666</x:v>
      </x:c>
      <x:c r="B217" s="9">
        <x:f>INT(A217)</x:f>
        <x:v>45978</x:v>
      </x:c>
      <x:c r="C217" s="10" t="str">
        <x:f>TEXT(B217,"yyyy-mm")</x:f>
        <x:v>2025-11</x:v>
      </x:c>
      <x:c r="D217" s="10">
        <x:f>MONTH(B217)</x:f>
        <x:v>11</x:v>
      </x:c>
      <x:c r="E217" s="10" t="str">
        <x:f>TEXT(B217,"mmmm")</x:f>
        <x:v>November</x:v>
      </x:c>
      <x:c r="F217" s="10" t="str">
        <x:f>"Q"&amp;ROUNDUP(D217/3,0)</x:f>
        <x:v>Q4</x:v>
      </x:c>
      <x:c r="G217" s="10" t="str">
        <x:f>IF(OR(D217=12,D217&lt;=2),"Winter",IF(D217&lt;=5,"Spring",IF(D217&lt;=8,"Summer","Autumn")))</x:f>
        <x:v>Autumn</x:v>
      </x:c>
      <x:c r="H217" s="11">
        <x:f>weather_data!E217-weather_data!D217</x:f>
        <x:v>1.1000000000000014</x:v>
      </x:c>
      <x:c r="I217" s="10">
        <x:f>IF(OR(weather_data!H217="light rain",weather_data!H217="moderate rain",weather_data!H217="drizzle",weather_data!H217="thunderstorm"),1,0)</x:f>
        <x:v>1</x:v>
      </x:c>
      <x:c r="J217" s="10">
        <x:f>IF(weather_data!I217&gt;=25,1,0)</x:f>
        <x:v>0</x:v>
      </x:c>
    </x:row>
    <x:row r="218">
      <x:c r="A218" s="8">
        <x:f>weather_data!B218</x:f>
        <x:v>45979.51388888889</x:v>
      </x:c>
      <x:c r="B218" s="9">
        <x:f>INT(A218)</x:f>
        <x:v>45979</x:v>
      </x:c>
      <x:c r="C218" s="10" t="str">
        <x:f>TEXT(B218,"yyyy-mm")</x:f>
        <x:v>2025-11</x:v>
      </x:c>
      <x:c r="D218" s="10">
        <x:f>MONTH(B218)</x:f>
        <x:v>11</x:v>
      </x:c>
      <x:c r="E218" s="10" t="str">
        <x:f>TEXT(B218,"mmmm")</x:f>
        <x:v>November</x:v>
      </x:c>
      <x:c r="F218" s="10" t="str">
        <x:f>"Q"&amp;ROUNDUP(D218/3,0)</x:f>
        <x:v>Q4</x:v>
      </x:c>
      <x:c r="G218" s="10" t="str">
        <x:f>IF(OR(D218=12,D218&lt;=2),"Winter",IF(D218&lt;=5,"Spring",IF(D218&lt;=8,"Summer","Autumn")))</x:f>
        <x:v>Autumn</x:v>
      </x:c>
      <x:c r="H218" s="11">
        <x:f>weather_data!E218-weather_data!D218</x:f>
        <x:v>-1.5</x:v>
      </x:c>
      <x:c r="I218" s="10">
        <x:f>IF(OR(weather_data!H218="light rain",weather_data!H218="moderate rain",weather_data!H218="drizzle",weather_data!H218="thunderstorm"),1,0)</x:f>
        <x:v>1</x:v>
      </x:c>
      <x:c r="J218" s="10">
        <x:f>IF(weather_data!I218&gt;=25,1,0)</x:f>
        <x:v>0</x:v>
      </x:c>
    </x:row>
    <x:row r="219">
      <x:c r="A219" s="8">
        <x:f>weather_data!B219</x:f>
        <x:v>45980.40972222222</x:v>
      </x:c>
      <x:c r="B219" s="9">
        <x:f>INT(A219)</x:f>
        <x:v>45980</x:v>
      </x:c>
      <x:c r="C219" s="10" t="str">
        <x:f>TEXT(B219,"yyyy-mm")</x:f>
        <x:v>2025-11</x:v>
      </x:c>
      <x:c r="D219" s="10">
        <x:f>MONTH(B219)</x:f>
        <x:v>11</x:v>
      </x:c>
      <x:c r="E219" s="10" t="str">
        <x:f>TEXT(B219,"mmmm")</x:f>
        <x:v>November</x:v>
      </x:c>
      <x:c r="F219" s="10" t="str">
        <x:f>"Q"&amp;ROUNDUP(D219/3,0)</x:f>
        <x:v>Q4</x:v>
      </x:c>
      <x:c r="G219" s="10" t="str">
        <x:f>IF(OR(D219=12,D219&lt;=2),"Winter",IF(D219&lt;=5,"Spring",IF(D219&lt;=8,"Summer","Autumn")))</x:f>
        <x:v>Autumn</x:v>
      </x:c>
      <x:c r="H219" s="11">
        <x:f>weather_data!E219-weather_data!D219</x:f>
        <x:v>0.09999999999999964</x:v>
      </x:c>
      <x:c r="I219" s="10">
        <x:f>IF(OR(weather_data!H219="light rain",weather_data!H219="moderate rain",weather_data!H219="drizzle",weather_data!H219="thunderstorm"),1,0)</x:f>
        <x:v>0</x:v>
      </x:c>
      <x:c r="J219" s="10">
        <x:f>IF(weather_data!I219&gt;=25,1,0)</x:f>
        <x:v>0</x:v>
      </x:c>
    </x:row>
    <x:row r="220">
      <x:c r="A220" s="8">
        <x:f>weather_data!B220</x:f>
        <x:v>45981.46527777778</x:v>
      </x:c>
      <x:c r="B220" s="9">
        <x:f>INT(A220)</x:f>
        <x:v>45981</x:v>
      </x:c>
      <x:c r="C220" s="10" t="str">
        <x:f>TEXT(B220,"yyyy-mm")</x:f>
        <x:v>2025-11</x:v>
      </x:c>
      <x:c r="D220" s="10">
        <x:f>MONTH(B220)</x:f>
        <x:v>11</x:v>
      </x:c>
      <x:c r="E220" s="10" t="str">
        <x:f>TEXT(B220,"mmmm")</x:f>
        <x:v>November</x:v>
      </x:c>
      <x:c r="F220" s="10" t="str">
        <x:f>"Q"&amp;ROUNDUP(D220/3,0)</x:f>
        <x:v>Q4</x:v>
      </x:c>
      <x:c r="G220" s="10" t="str">
        <x:f>IF(OR(D220=12,D220&lt;=2),"Winter",IF(D220&lt;=5,"Spring",IF(D220&lt;=8,"Summer","Autumn")))</x:f>
        <x:v>Autumn</x:v>
      </x:c>
      <x:c r="H220" s="11">
        <x:f>weather_data!E220-weather_data!D220</x:f>
        <x:v>0.5</x:v>
      </x:c>
      <x:c r="I220" s="10">
        <x:f>IF(OR(weather_data!H220="light rain",weather_data!H220="moderate rain",weather_data!H220="drizzle",weather_data!H220="thunderstorm"),1,0)</x:f>
        <x:v>0</x:v>
      </x:c>
      <x:c r="J220" s="10">
        <x:f>IF(weather_data!I220&gt;=25,1,0)</x:f>
        <x:v>0</x:v>
      </x:c>
    </x:row>
    <x:row r="221">
      <x:c r="A221" s="8">
        <x:f>weather_data!B221</x:f>
        <x:v>45982.53472222222</x:v>
      </x:c>
      <x:c r="B221" s="9">
        <x:f>INT(A221)</x:f>
        <x:v>45982</x:v>
      </x:c>
      <x:c r="C221" s="10" t="str">
        <x:f>TEXT(B221,"yyyy-mm")</x:f>
        <x:v>2025-11</x:v>
      </x:c>
      <x:c r="D221" s="10">
        <x:f>MONTH(B221)</x:f>
        <x:v>11</x:v>
      </x:c>
      <x:c r="E221" s="10" t="str">
        <x:f>TEXT(B221,"mmmm")</x:f>
        <x:v>November</x:v>
      </x:c>
      <x:c r="F221" s="10" t="str">
        <x:f>"Q"&amp;ROUNDUP(D221/3,0)</x:f>
        <x:v>Q4</x:v>
      </x:c>
      <x:c r="G221" s="10" t="str">
        <x:f>IF(OR(D221=12,D221&lt;=2),"Winter",IF(D221&lt;=5,"Spring",IF(D221&lt;=8,"Summer","Autumn")))</x:f>
        <x:v>Autumn</x:v>
      </x:c>
      <x:c r="H221" s="11">
        <x:f>weather_data!E221-weather_data!D221</x:f>
        <x:v>0</x:v>
      </x:c>
      <x:c r="I221" s="10">
        <x:f>IF(OR(weather_data!H221="light rain",weather_data!H221="moderate rain",weather_data!H221="drizzle",weather_data!H221="thunderstorm"),1,0)</x:f>
        <x:v>1</x:v>
      </x:c>
      <x:c r="J221" s="10">
        <x:f>IF(weather_data!I221&gt;=25,1,0)</x:f>
        <x:v>0</x:v>
      </x:c>
    </x:row>
    <x:row r="222">
      <x:c r="A222" s="8">
        <x:f>weather_data!B222</x:f>
        <x:v>45983.88888888889</x:v>
      </x:c>
      <x:c r="B222" s="9">
        <x:f>INT(A222)</x:f>
        <x:v>45983</x:v>
      </x:c>
      <x:c r="C222" s="10" t="str">
        <x:f>TEXT(B222,"yyyy-mm")</x:f>
        <x:v>2025-11</x:v>
      </x:c>
      <x:c r="D222" s="10">
        <x:f>MONTH(B222)</x:f>
        <x:v>11</x:v>
      </x:c>
      <x:c r="E222" s="10" t="str">
        <x:f>TEXT(B222,"mmmm")</x:f>
        <x:v>November</x:v>
      </x:c>
      <x:c r="F222" s="10" t="str">
        <x:f>"Q"&amp;ROUNDUP(D222/3,0)</x:f>
        <x:v>Q4</x:v>
      </x:c>
      <x:c r="G222" s="10" t="str">
        <x:f>IF(OR(D222=12,D222&lt;=2),"Winter",IF(D222&lt;=5,"Spring",IF(D222&lt;=8,"Summer","Autumn")))</x:f>
        <x:v>Autumn</x:v>
      </x:c>
      <x:c r="H222" s="11">
        <x:f>weather_data!E222-weather_data!D222</x:f>
        <x:v>0.1999999999999993</x:v>
      </x:c>
      <x:c r="I222" s="10">
        <x:f>IF(OR(weather_data!H222="light rain",weather_data!H222="moderate rain",weather_data!H222="drizzle",weather_data!H222="thunderstorm"),1,0)</x:f>
        <x:v>0</x:v>
      </x:c>
      <x:c r="J222" s="10">
        <x:f>IF(weather_data!I222&gt;=25,1,0)</x:f>
        <x:v>0</x:v>
      </x:c>
    </x:row>
    <x:row r="223">
      <x:c r="A223" s="8">
        <x:f>weather_data!B223</x:f>
        <x:v>45984.625</x:v>
      </x:c>
      <x:c r="B223" s="9">
        <x:f>INT(A223)</x:f>
        <x:v>45984</x:v>
      </x:c>
      <x:c r="C223" s="10" t="str">
        <x:f>TEXT(B223,"yyyy-mm")</x:f>
        <x:v>2025-11</x:v>
      </x:c>
      <x:c r="D223" s="10">
        <x:f>MONTH(B223)</x:f>
        <x:v>11</x:v>
      </x:c>
      <x:c r="E223" s="10" t="str">
        <x:f>TEXT(B223,"mmmm")</x:f>
        <x:v>November</x:v>
      </x:c>
      <x:c r="F223" s="10" t="str">
        <x:f>"Q"&amp;ROUNDUP(D223/3,0)</x:f>
        <x:v>Q4</x:v>
      </x:c>
      <x:c r="G223" s="10" t="str">
        <x:f>IF(OR(D223=12,D223&lt;=2),"Winter",IF(D223&lt;=5,"Spring",IF(D223&lt;=8,"Summer","Autumn")))</x:f>
        <x:v>Autumn</x:v>
      </x:c>
      <x:c r="H223" s="11">
        <x:f>weather_data!E223-weather_data!D223</x:f>
        <x:v>-0.40000000000000036</x:v>
      </x:c>
      <x:c r="I223" s="10">
        <x:f>IF(OR(weather_data!H223="light rain",weather_data!H223="moderate rain",weather_data!H223="drizzle",weather_data!H223="thunderstorm"),1,0)</x:f>
        <x:v>0</x:v>
      </x:c>
      <x:c r="J223" s="10">
        <x:f>IF(weather_data!I223&gt;=25,1,0)</x:f>
        <x:v>0</x:v>
      </x:c>
    </x:row>
    <x:row r="224">
      <x:c r="A224" s="8">
        <x:f>weather_data!B224</x:f>
        <x:v>45985.51388888889</x:v>
      </x:c>
      <x:c r="B224" s="9">
        <x:f>INT(A224)</x:f>
        <x:v>45985</x:v>
      </x:c>
      <x:c r="C224" s="10" t="str">
        <x:f>TEXT(B224,"yyyy-mm")</x:f>
        <x:v>2025-11</x:v>
      </x:c>
      <x:c r="D224" s="10">
        <x:f>MONTH(B224)</x:f>
        <x:v>11</x:v>
      </x:c>
      <x:c r="E224" s="10" t="str">
        <x:f>TEXT(B224,"mmmm")</x:f>
        <x:v>November</x:v>
      </x:c>
      <x:c r="F224" s="10" t="str">
        <x:f>"Q"&amp;ROUNDUP(D224/3,0)</x:f>
        <x:v>Q4</x:v>
      </x:c>
      <x:c r="G224" s="10" t="str">
        <x:f>IF(OR(D224=12,D224&lt;=2),"Winter",IF(D224&lt;=5,"Spring",IF(D224&lt;=8,"Summer","Autumn")))</x:f>
        <x:v>Autumn</x:v>
      </x:c>
      <x:c r="H224" s="11">
        <x:f>weather_data!E224-weather_data!D224</x:f>
        <x:v>1.1999999999999993</x:v>
      </x:c>
      <x:c r="I224" s="10">
        <x:f>IF(OR(weather_data!H224="light rain",weather_data!H224="moderate rain",weather_data!H224="drizzle",weather_data!H224="thunderstorm"),1,0)</x:f>
        <x:v>0</x:v>
      </x:c>
      <x:c r="J224" s="10">
        <x:f>IF(weather_data!I224&gt;=25,1,0)</x:f>
        <x:v>0</x:v>
      </x:c>
    </x:row>
    <x:row r="225">
      <x:c r="A225" s="8">
        <x:f>weather_data!B225</x:f>
        <x:v>45986.55555555555</x:v>
      </x:c>
      <x:c r="B225" s="9">
        <x:f>INT(A225)</x:f>
        <x:v>45986</x:v>
      </x:c>
      <x:c r="C225" s="10" t="str">
        <x:f>TEXT(B225,"yyyy-mm")</x:f>
        <x:v>2025-11</x:v>
      </x:c>
      <x:c r="D225" s="10">
        <x:f>MONTH(B225)</x:f>
        <x:v>11</x:v>
      </x:c>
      <x:c r="E225" s="10" t="str">
        <x:f>TEXT(B225,"mmmm")</x:f>
        <x:v>November</x:v>
      </x:c>
      <x:c r="F225" s="10" t="str">
        <x:f>"Q"&amp;ROUNDUP(D225/3,0)</x:f>
        <x:v>Q4</x:v>
      </x:c>
      <x:c r="G225" s="10" t="str">
        <x:f>IF(OR(D225=12,D225&lt;=2),"Winter",IF(D225&lt;=5,"Spring",IF(D225&lt;=8,"Summer","Autumn")))</x:f>
        <x:v>Autumn</x:v>
      </x:c>
      <x:c r="H225" s="11">
        <x:f>weather_data!E225-weather_data!D225</x:f>
        <x:v>-2.0999999999999996</x:v>
      </x:c>
      <x:c r="I225" s="10">
        <x:f>IF(OR(weather_data!H225="light rain",weather_data!H225="moderate rain",weather_data!H225="drizzle",weather_data!H225="thunderstorm"),1,0)</x:f>
        <x:v>1</x:v>
      </x:c>
      <x:c r="J225" s="10">
        <x:f>IF(weather_data!I225&gt;=25,1,0)</x:f>
        <x:v>1</x:v>
      </x:c>
    </x:row>
    <x:row r="226">
      <x:c r="A226" s="8">
        <x:f>weather_data!B226</x:f>
        <x:v>45987.47222222222</x:v>
      </x:c>
      <x:c r="B226" s="9">
        <x:f>INT(A226)</x:f>
        <x:v>45987</x:v>
      </x:c>
      <x:c r="C226" s="10" t="str">
        <x:f>TEXT(B226,"yyyy-mm")</x:f>
        <x:v>2025-11</x:v>
      </x:c>
      <x:c r="D226" s="10">
        <x:f>MONTH(B226)</x:f>
        <x:v>11</x:v>
      </x:c>
      <x:c r="E226" s="10" t="str">
        <x:f>TEXT(B226,"mmmm")</x:f>
        <x:v>November</x:v>
      </x:c>
      <x:c r="F226" s="10" t="str">
        <x:f>"Q"&amp;ROUNDUP(D226/3,0)</x:f>
        <x:v>Q4</x:v>
      </x:c>
      <x:c r="G226" s="10" t="str">
        <x:f>IF(OR(D226=12,D226&lt;=2),"Winter",IF(D226&lt;=5,"Spring",IF(D226&lt;=8,"Summer","Autumn")))</x:f>
        <x:v>Autumn</x:v>
      </x:c>
      <x:c r="H226" s="11">
        <x:f>weather_data!E226-weather_data!D226</x:f>
        <x:v>0.40000000000000036</x:v>
      </x:c>
      <x:c r="I226" s="10">
        <x:f>IF(OR(weather_data!H226="light rain",weather_data!H226="moderate rain",weather_data!H226="drizzle",weather_data!H226="thunderstorm"),1,0)</x:f>
        <x:v>0</x:v>
      </x:c>
      <x:c r="J226" s="10">
        <x:f>IF(weather_data!I226&gt;=25,1,0)</x:f>
        <x:v>0</x:v>
      </x:c>
    </x:row>
    <x:row r="227">
      <x:c r="A227" s="8">
        <x:f>weather_data!B227</x:f>
        <x:v>45988.28472222222</x:v>
      </x:c>
      <x:c r="B227" s="9">
        <x:f>INT(A227)</x:f>
        <x:v>45988</x:v>
      </x:c>
      <x:c r="C227" s="10" t="str">
        <x:f>TEXT(B227,"yyyy-mm")</x:f>
        <x:v>2025-11</x:v>
      </x:c>
      <x:c r="D227" s="10">
        <x:f>MONTH(B227)</x:f>
        <x:v>11</x:v>
      </x:c>
      <x:c r="E227" s="10" t="str">
        <x:f>TEXT(B227,"mmmm")</x:f>
        <x:v>November</x:v>
      </x:c>
      <x:c r="F227" s="10" t="str">
        <x:f>"Q"&amp;ROUNDUP(D227/3,0)</x:f>
        <x:v>Q4</x:v>
      </x:c>
      <x:c r="G227" s="10" t="str">
        <x:f>IF(OR(D227=12,D227&lt;=2),"Winter",IF(D227&lt;=5,"Spring",IF(D227&lt;=8,"Summer","Autumn")))</x:f>
        <x:v>Autumn</x:v>
      </x:c>
      <x:c r="H227" s="11">
        <x:f>weather_data!E227-weather_data!D227</x:f>
        <x:v>-0.8000000000000007</x:v>
      </x:c>
      <x:c r="I227" s="10">
        <x:f>IF(OR(weather_data!H227="light rain",weather_data!H227="moderate rain",weather_data!H227="drizzle",weather_data!H227="thunderstorm"),1,0)</x:f>
        <x:v>0</x:v>
      </x:c>
      <x:c r="J227" s="10">
        <x:f>IF(weather_data!I227&gt;=25,1,0)</x:f>
        <x:v>0</x:v>
      </x:c>
    </x:row>
    <x:row r="228">
      <x:c r="A228" s="8">
        <x:f>weather_data!B228</x:f>
        <x:v>45989.43055555555</x:v>
      </x:c>
      <x:c r="B228" s="9">
        <x:f>INT(A228)</x:f>
        <x:v>45989</x:v>
      </x:c>
      <x:c r="C228" s="10" t="str">
        <x:f>TEXT(B228,"yyyy-mm")</x:f>
        <x:v>2025-11</x:v>
      </x:c>
      <x:c r="D228" s="10">
        <x:f>MONTH(B228)</x:f>
        <x:v>11</x:v>
      </x:c>
      <x:c r="E228" s="10" t="str">
        <x:f>TEXT(B228,"mmmm")</x:f>
        <x:v>November</x:v>
      </x:c>
      <x:c r="F228" s="10" t="str">
        <x:f>"Q"&amp;ROUNDUP(D228/3,0)</x:f>
        <x:v>Q4</x:v>
      </x:c>
      <x:c r="G228" s="10" t="str">
        <x:f>IF(OR(D228=12,D228&lt;=2),"Winter",IF(D228&lt;=5,"Spring",IF(D228&lt;=8,"Summer","Autumn")))</x:f>
        <x:v>Autumn</x:v>
      </x:c>
      <x:c r="H228" s="11">
        <x:f>weather_data!E228-weather_data!D228</x:f>
        <x:v>-0.9000000000000004</x:v>
      </x:c>
      <x:c r="I228" s="10">
        <x:f>IF(OR(weather_data!H228="light rain",weather_data!H228="moderate rain",weather_data!H228="drizzle",weather_data!H228="thunderstorm"),1,0)</x:f>
        <x:v>0</x:v>
      </x:c>
      <x:c r="J228" s="10">
        <x:f>IF(weather_data!I228&gt;=25,1,0)</x:f>
        <x:v>1</x:v>
      </x:c>
    </x:row>
    <x:row r="229">
      <x:c r="A229" s="8">
        <x:f>weather_data!B229</x:f>
        <x:v>45990.29166666666</x:v>
      </x:c>
      <x:c r="B229" s="9">
        <x:f>INT(A229)</x:f>
        <x:v>45990</x:v>
      </x:c>
      <x:c r="C229" s="10" t="str">
        <x:f>TEXT(B229,"yyyy-mm")</x:f>
        <x:v>2025-11</x:v>
      </x:c>
      <x:c r="D229" s="10">
        <x:f>MONTH(B229)</x:f>
        <x:v>11</x:v>
      </x:c>
      <x:c r="E229" s="10" t="str">
        <x:f>TEXT(B229,"mmmm")</x:f>
        <x:v>November</x:v>
      </x:c>
      <x:c r="F229" s="10" t="str">
        <x:f>"Q"&amp;ROUNDUP(D229/3,0)</x:f>
        <x:v>Q4</x:v>
      </x:c>
      <x:c r="G229" s="10" t="str">
        <x:f>IF(OR(D229=12,D229&lt;=2),"Winter",IF(D229&lt;=5,"Spring",IF(D229&lt;=8,"Summer","Autumn")))</x:f>
        <x:v>Autumn</x:v>
      </x:c>
      <x:c r="H229" s="11">
        <x:f>weather_data!E229-weather_data!D229</x:f>
        <x:v>0.40000000000000036</x:v>
      </x:c>
      <x:c r="I229" s="10">
        <x:f>IF(OR(weather_data!H229="light rain",weather_data!H229="moderate rain",weather_data!H229="drizzle",weather_data!H229="thunderstorm"),1,0)</x:f>
        <x:v>1</x:v>
      </x:c>
      <x:c r="J229" s="10">
        <x:f>IF(weather_data!I229&gt;=25,1,0)</x:f>
        <x:v>0</x:v>
      </x:c>
    </x:row>
    <x:row r="230">
      <x:c r="A230" s="8">
        <x:f>weather_data!B230</x:f>
        <x:v>45991.65972222222</x:v>
      </x:c>
      <x:c r="B230" s="9">
        <x:f>INT(A230)</x:f>
        <x:v>45991</x:v>
      </x:c>
      <x:c r="C230" s="10" t="str">
        <x:f>TEXT(B230,"yyyy-mm")</x:f>
        <x:v>2025-11</x:v>
      </x:c>
      <x:c r="D230" s="10">
        <x:f>MONTH(B230)</x:f>
        <x:v>11</x:v>
      </x:c>
      <x:c r="E230" s="10" t="str">
        <x:f>TEXT(B230,"mmmm")</x:f>
        <x:v>November</x:v>
      </x:c>
      <x:c r="F230" s="10" t="str">
        <x:f>"Q"&amp;ROUNDUP(D230/3,0)</x:f>
        <x:v>Q4</x:v>
      </x:c>
      <x:c r="G230" s="10" t="str">
        <x:f>IF(OR(D230=12,D230&lt;=2),"Winter",IF(D230&lt;=5,"Spring",IF(D230&lt;=8,"Summer","Autumn")))</x:f>
        <x:v>Autumn</x:v>
      </x:c>
      <x:c r="H230" s="11">
        <x:f>weather_data!E230-weather_data!D230</x:f>
        <x:v>1.0999999999999979</x:v>
      </x:c>
      <x:c r="I230" s="10">
        <x:f>IF(OR(weather_data!H230="light rain",weather_data!H230="moderate rain",weather_data!H230="drizzle",weather_data!H230="thunderstorm"),1,0)</x:f>
        <x:v>0</x:v>
      </x:c>
      <x:c r="J230" s="10">
        <x:f>IF(weather_data!I230&gt;=25,1,0)</x:f>
        <x:v>0</x:v>
      </x:c>
    </x:row>
    <x:row r="231">
      <x:c r="A231" s="8">
        <x:f>weather_data!B231</x:f>
        <x:v>45992.45138888889</x:v>
      </x:c>
      <x:c r="B231" s="9">
        <x:f>INT(A231)</x:f>
        <x:v>45992</x:v>
      </x:c>
      <x:c r="C231" s="10" t="str">
        <x:f>TEXT(B231,"yyyy-mm")</x:f>
        <x:v>2025-12</x:v>
      </x:c>
      <x:c r="D231" s="10">
        <x:f>MONTH(B231)</x:f>
        <x:v>12</x:v>
      </x:c>
      <x:c r="E231" s="10" t="str">
        <x:f>TEXT(B231,"mmmm")</x:f>
        <x:v>December</x:v>
      </x:c>
      <x:c r="F231" s="10" t="str">
        <x:f>"Q"&amp;ROUNDUP(D231/3,0)</x:f>
        <x:v>Q4</x:v>
      </x:c>
      <x:c r="G231" s="10" t="str">
        <x:f>IF(OR(D231=12,D231&lt;=2),"Winter",IF(D231&lt;=5,"Spring",IF(D231&lt;=8,"Summer","Autumn")))</x:f>
        <x:v>Winter</x:v>
      </x:c>
      <x:c r="H231" s="11">
        <x:f>weather_data!E231-weather_data!D231</x:f>
        <x:v>0</x:v>
      </x:c>
      <x:c r="I231" s="10">
        <x:f>IF(OR(weather_data!H231="light rain",weather_data!H231="moderate rain",weather_data!H231="drizzle",weather_data!H231="thunderstorm"),1,0)</x:f>
        <x:v>0</x:v>
      </x:c>
      <x:c r="J231" s="10">
        <x:f>IF(weather_data!I231&gt;=25,1,0)</x:f>
        <x:v>1</x:v>
      </x:c>
    </x:row>
    <x:row r="232">
      <x:c r="A232" s="8">
        <x:f>weather_data!B232</x:f>
        <x:v>45993.875</x:v>
      </x:c>
      <x:c r="B232" s="9">
        <x:f>INT(A232)</x:f>
        <x:v>45993</x:v>
      </x:c>
      <x:c r="C232" s="10" t="str">
        <x:f>TEXT(B232,"yyyy-mm")</x:f>
        <x:v>2025-12</x:v>
      </x:c>
      <x:c r="D232" s="10">
        <x:f>MONTH(B232)</x:f>
        <x:v>12</x:v>
      </x:c>
      <x:c r="E232" s="10" t="str">
        <x:f>TEXT(B232,"mmmm")</x:f>
        <x:v>December</x:v>
      </x:c>
      <x:c r="F232" s="10" t="str">
        <x:f>"Q"&amp;ROUNDUP(D232/3,0)</x:f>
        <x:v>Q4</x:v>
      </x:c>
      <x:c r="G232" s="10" t="str">
        <x:f>IF(OR(D232=12,D232&lt;=2),"Winter",IF(D232&lt;=5,"Spring",IF(D232&lt;=8,"Summer","Autumn")))</x:f>
        <x:v>Winter</x:v>
      </x:c>
      <x:c r="H232" s="11">
        <x:f>weather_data!E232-weather_data!D232</x:f>
        <x:v>0.1999999999999993</x:v>
      </x:c>
      <x:c r="I232" s="10">
        <x:f>IF(OR(weather_data!H232="light rain",weather_data!H232="moderate rain",weather_data!H232="drizzle",weather_data!H232="thunderstorm"),1,0)</x:f>
        <x:v>0</x:v>
      </x:c>
      <x:c r="J232" s="10">
        <x:f>IF(weather_data!I232&gt;=25,1,0)</x:f>
        <x:v>0</x:v>
      </x:c>
    </x:row>
    <x:row r="233">
      <x:c r="A233" s="8">
        <x:f>weather_data!B233</x:f>
        <x:v>45994.27777777778</x:v>
      </x:c>
      <x:c r="B233" s="9">
        <x:f>INT(A233)</x:f>
        <x:v>45994</x:v>
      </x:c>
      <x:c r="C233" s="10" t="str">
        <x:f>TEXT(B233,"yyyy-mm")</x:f>
        <x:v>2025-12</x:v>
      </x:c>
      <x:c r="D233" s="10">
        <x:f>MONTH(B233)</x:f>
        <x:v>12</x:v>
      </x:c>
      <x:c r="E233" s="10" t="str">
        <x:f>TEXT(B233,"mmmm")</x:f>
        <x:v>December</x:v>
      </x:c>
      <x:c r="F233" s="10" t="str">
        <x:f>"Q"&amp;ROUNDUP(D233/3,0)</x:f>
        <x:v>Q4</x:v>
      </x:c>
      <x:c r="G233" s="10" t="str">
        <x:f>IF(OR(D233=12,D233&lt;=2),"Winter",IF(D233&lt;=5,"Spring",IF(D233&lt;=8,"Summer","Autumn")))</x:f>
        <x:v>Winter</x:v>
      </x:c>
      <x:c r="H233" s="11">
        <x:f>weather_data!E233-weather_data!D233</x:f>
        <x:v>1.0999999999999996</x:v>
      </x:c>
      <x:c r="I233" s="10">
        <x:f>IF(OR(weather_data!H233="light rain",weather_data!H233="moderate rain",weather_data!H233="drizzle",weather_data!H233="thunderstorm"),1,0)</x:f>
        <x:v>0</x:v>
      </x:c>
      <x:c r="J233" s="10">
        <x:f>IF(weather_data!I233&gt;=25,1,0)</x:f>
        <x:v>0</x:v>
      </x:c>
    </x:row>
    <x:row r="234">
      <x:c r="A234" s="8">
        <x:f>weather_data!B234</x:f>
        <x:v>45995.64583333334</x:v>
      </x:c>
      <x:c r="B234" s="9">
        <x:f>INT(A234)</x:f>
        <x:v>45995</x:v>
      </x:c>
      <x:c r="C234" s="10" t="str">
        <x:f>TEXT(B234,"yyyy-mm")</x:f>
        <x:v>2025-12</x:v>
      </x:c>
      <x:c r="D234" s="10">
        <x:f>MONTH(B234)</x:f>
        <x:v>12</x:v>
      </x:c>
      <x:c r="E234" s="10" t="str">
        <x:f>TEXT(B234,"mmmm")</x:f>
        <x:v>December</x:v>
      </x:c>
      <x:c r="F234" s="10" t="str">
        <x:f>"Q"&amp;ROUNDUP(D234/3,0)</x:f>
        <x:v>Q4</x:v>
      </x:c>
      <x:c r="G234" s="10" t="str">
        <x:f>IF(OR(D234=12,D234&lt;=2),"Winter",IF(D234&lt;=5,"Spring",IF(D234&lt;=8,"Summer","Autumn")))</x:f>
        <x:v>Winter</x:v>
      </x:c>
      <x:c r="H234" s="11">
        <x:f>weather_data!E234-weather_data!D234</x:f>
        <x:v>0.3000000000000007</x:v>
      </x:c>
      <x:c r="I234" s="10">
        <x:f>IF(OR(weather_data!H234="light rain",weather_data!H234="moderate rain",weather_data!H234="drizzle",weather_data!H234="thunderstorm"),1,0)</x:f>
        <x:v>1</x:v>
      </x:c>
      <x:c r="J234" s="10">
        <x:f>IF(weather_data!I234&gt;=25,1,0)</x:f>
        <x:v>0</x:v>
      </x:c>
    </x:row>
    <x:row r="235">
      <x:c r="A235" s="8">
        <x:f>weather_data!B235</x:f>
        <x:v>45996.89583333334</x:v>
      </x:c>
      <x:c r="B235" s="9">
        <x:f>INT(A235)</x:f>
        <x:v>45996</x:v>
      </x:c>
      <x:c r="C235" s="10" t="str">
        <x:f>TEXT(B235,"yyyy-mm")</x:f>
        <x:v>2025-12</x:v>
      </x:c>
      <x:c r="D235" s="10">
        <x:f>MONTH(B235)</x:f>
        <x:v>12</x:v>
      </x:c>
      <x:c r="E235" s="10" t="str">
        <x:f>TEXT(B235,"mmmm")</x:f>
        <x:v>December</x:v>
      </x:c>
      <x:c r="F235" s="10" t="str">
        <x:f>"Q"&amp;ROUNDUP(D235/3,0)</x:f>
        <x:v>Q4</x:v>
      </x:c>
      <x:c r="G235" s="10" t="str">
        <x:f>IF(OR(D235=12,D235&lt;=2),"Winter",IF(D235&lt;=5,"Spring",IF(D235&lt;=8,"Summer","Autumn")))</x:f>
        <x:v>Winter</x:v>
      </x:c>
      <x:c r="H235" s="11">
        <x:f>weather_data!E235-weather_data!D235</x:f>
        <x:v>0.5</x:v>
      </x:c>
      <x:c r="I235" s="10">
        <x:f>IF(OR(weather_data!H235="light rain",weather_data!H235="moderate rain",weather_data!H235="drizzle",weather_data!H235="thunderstorm"),1,0)</x:f>
        <x:v>0</x:v>
      </x:c>
      <x:c r="J235" s="10">
        <x:f>IF(weather_data!I235&gt;=25,1,0)</x:f>
        <x:v>0</x:v>
      </x:c>
    </x:row>
    <x:row r="236">
      <x:c r="A236" s="8">
        <x:f>weather_data!B236</x:f>
        <x:v>45997.67361111111</x:v>
      </x:c>
      <x:c r="B236" s="9">
        <x:f>INT(A236)</x:f>
        <x:v>45997</x:v>
      </x:c>
      <x:c r="C236" s="10" t="str">
        <x:f>TEXT(B236,"yyyy-mm")</x:f>
        <x:v>2025-12</x:v>
      </x:c>
      <x:c r="D236" s="10">
        <x:f>MONTH(B236)</x:f>
        <x:v>12</x:v>
      </x:c>
      <x:c r="E236" s="10" t="str">
        <x:f>TEXT(B236,"mmmm")</x:f>
        <x:v>December</x:v>
      </x:c>
      <x:c r="F236" s="10" t="str">
        <x:f>"Q"&amp;ROUNDUP(D236/3,0)</x:f>
        <x:v>Q4</x:v>
      </x:c>
      <x:c r="G236" s="10" t="str">
        <x:f>IF(OR(D236=12,D236&lt;=2),"Winter",IF(D236&lt;=5,"Spring",IF(D236&lt;=8,"Summer","Autumn")))</x:f>
        <x:v>Winter</x:v>
      </x:c>
      <x:c r="H236" s="11">
        <x:f>weather_data!E236-weather_data!D236</x:f>
        <x:v>0.9000000000000021</x:v>
      </x:c>
      <x:c r="I236" s="10">
        <x:f>IF(OR(weather_data!H236="light rain",weather_data!H236="moderate rain",weather_data!H236="drizzle",weather_data!H236="thunderstorm"),1,0)</x:f>
        <x:v>0</x:v>
      </x:c>
      <x:c r="J236" s="10">
        <x:f>IF(weather_data!I236&gt;=25,1,0)</x:f>
        <x:v>0</x:v>
      </x:c>
    </x:row>
    <x:row r="237">
      <x:c r="A237" s="8">
        <x:f>weather_data!B237</x:f>
        <x:v>45999.30555555555</x:v>
      </x:c>
      <x:c r="B237" s="9">
        <x:f>INT(A237)</x:f>
        <x:v>45999</x:v>
      </x:c>
      <x:c r="C237" s="10" t="str">
        <x:f>TEXT(B237,"yyyy-mm")</x:f>
        <x:v>2025-12</x:v>
      </x:c>
      <x:c r="D237" s="10">
        <x:f>MONTH(B237)</x:f>
        <x:v>12</x:v>
      </x:c>
      <x:c r="E237" s="10" t="str">
        <x:f>TEXT(B237,"mmmm")</x:f>
        <x:v>December</x:v>
      </x:c>
      <x:c r="F237" s="10" t="str">
        <x:f>"Q"&amp;ROUNDUP(D237/3,0)</x:f>
        <x:v>Q4</x:v>
      </x:c>
      <x:c r="G237" s="10" t="str">
        <x:f>IF(OR(D237=12,D237&lt;=2),"Winter",IF(D237&lt;=5,"Spring",IF(D237&lt;=8,"Summer","Autumn")))</x:f>
        <x:v>Winter</x:v>
      </x:c>
      <x:c r="H237" s="11">
        <x:f>weather_data!E237-weather_data!D237</x:f>
        <x:v>0.20000000000000107</x:v>
      </x:c>
      <x:c r="I237" s="10">
        <x:f>IF(OR(weather_data!H237="light rain",weather_data!H237="moderate rain",weather_data!H237="drizzle",weather_data!H237="thunderstorm"),1,0)</x:f>
        <x:v>0</x:v>
      </x:c>
      <x:c r="J237" s="10">
        <x:f>IF(weather_data!I237&gt;=25,1,0)</x:f>
        <x:v>0</x:v>
      </x:c>
    </x:row>
    <x:row r="238">
      <x:c r="A238" s="8">
        <x:f>weather_data!B238</x:f>
        <x:v>46000.875</x:v>
      </x:c>
      <x:c r="B238" s="9">
        <x:f>INT(A238)</x:f>
        <x:v>46000</x:v>
      </x:c>
      <x:c r="C238" s="10" t="str">
        <x:f>TEXT(B238,"yyyy-mm")</x:f>
        <x:v>2025-12</x:v>
      </x:c>
      <x:c r="D238" s="10">
        <x:f>MONTH(B238)</x:f>
        <x:v>12</x:v>
      </x:c>
      <x:c r="E238" s="10" t="str">
        <x:f>TEXT(B238,"mmmm")</x:f>
        <x:v>December</x:v>
      </x:c>
      <x:c r="F238" s="10" t="str">
        <x:f>"Q"&amp;ROUNDUP(D238/3,0)</x:f>
        <x:v>Q4</x:v>
      </x:c>
      <x:c r="G238" s="10" t="str">
        <x:f>IF(OR(D238=12,D238&lt;=2),"Winter",IF(D238&lt;=5,"Spring",IF(D238&lt;=8,"Summer","Autumn")))</x:f>
        <x:v>Winter</x:v>
      </x:c>
      <x:c r="H238" s="11">
        <x:f>weather_data!E238-weather_data!D238</x:f>
        <x:v>0.6999999999999993</x:v>
      </x:c>
      <x:c r="I238" s="10">
        <x:f>IF(OR(weather_data!H238="light rain",weather_data!H238="moderate rain",weather_data!H238="drizzle",weather_data!H238="thunderstorm"),1,0)</x:f>
        <x:v>1</x:v>
      </x:c>
      <x:c r="J238" s="10">
        <x:f>IF(weather_data!I238&gt;=25,1,0)</x:f>
        <x:v>0</x:v>
      </x:c>
    </x:row>
    <x:row r="239">
      <x:c r="A239" s="8">
        <x:f>weather_data!B239</x:f>
        <x:v>46001.35416666666</x:v>
      </x:c>
      <x:c r="B239" s="9">
        <x:f>INT(A239)</x:f>
        <x:v>46001</x:v>
      </x:c>
      <x:c r="C239" s="10" t="str">
        <x:f>TEXT(B239,"yyyy-mm")</x:f>
        <x:v>2025-12</x:v>
      </x:c>
      <x:c r="D239" s="10">
        <x:f>MONTH(B239)</x:f>
        <x:v>12</x:v>
      </x:c>
      <x:c r="E239" s="10" t="str">
        <x:f>TEXT(B239,"mmmm")</x:f>
        <x:v>December</x:v>
      </x:c>
      <x:c r="F239" s="10" t="str">
        <x:f>"Q"&amp;ROUNDUP(D239/3,0)</x:f>
        <x:v>Q4</x:v>
      </x:c>
      <x:c r="G239" s="10" t="str">
        <x:f>IF(OR(D239=12,D239&lt;=2),"Winter",IF(D239&lt;=5,"Spring",IF(D239&lt;=8,"Summer","Autumn")))</x:f>
        <x:v>Winter</x:v>
      </x:c>
      <x:c r="H239" s="11">
        <x:f>weather_data!E239-weather_data!D239</x:f>
        <x:v>-2.1000000000000014</x:v>
      </x:c>
      <x:c r="I239" s="10">
        <x:f>IF(OR(weather_data!H239="light rain",weather_data!H239="moderate rain",weather_data!H239="drizzle",weather_data!H239="thunderstorm"),1,0)</x:f>
        <x:v>1</x:v>
      </x:c>
      <x:c r="J239" s="10">
        <x:f>IF(weather_data!I239&gt;=25,1,0)</x:f>
        <x:v>1</x:v>
      </x:c>
    </x:row>
    <x:row r="240">
      <x:c r="A240" s="8">
        <x:f>weather_data!B240</x:f>
        <x:v>46002.875</x:v>
      </x:c>
      <x:c r="B240" s="9">
        <x:f>INT(A240)</x:f>
        <x:v>46002</x:v>
      </x:c>
      <x:c r="C240" s="10" t="str">
        <x:f>TEXT(B240,"yyyy-mm")</x:f>
        <x:v>2025-12</x:v>
      </x:c>
      <x:c r="D240" s="10">
        <x:f>MONTH(B240)</x:f>
        <x:v>12</x:v>
      </x:c>
      <x:c r="E240" s="10" t="str">
        <x:f>TEXT(B240,"mmmm")</x:f>
        <x:v>December</x:v>
      </x:c>
      <x:c r="F240" s="10" t="str">
        <x:f>"Q"&amp;ROUNDUP(D240/3,0)</x:f>
        <x:v>Q4</x:v>
      </x:c>
      <x:c r="G240" s="10" t="str">
        <x:f>IF(OR(D240=12,D240&lt;=2),"Winter",IF(D240&lt;=5,"Spring",IF(D240&lt;=8,"Summer","Autumn")))</x:f>
        <x:v>Winter</x:v>
      </x:c>
      <x:c r="H240" s="11">
        <x:f>weather_data!E240-weather_data!D240</x:f>
        <x:v>-0.5</x:v>
      </x:c>
      <x:c r="I240" s="10">
        <x:f>IF(OR(weather_data!H240="light rain",weather_data!H240="moderate rain",weather_data!H240="drizzle",weather_data!H240="thunderstorm"),1,0)</x:f>
        <x:v>0</x:v>
      </x:c>
      <x:c r="J240" s="10">
        <x:f>IF(weather_data!I240&gt;=25,1,0)</x:f>
        <x:v>0</x:v>
      </x:c>
    </x:row>
    <x:row r="241">
      <x:c r="A241" s="8">
        <x:f>weather_data!B241</x:f>
        <x:v>46003.29861111111</x:v>
      </x:c>
      <x:c r="B241" s="9">
        <x:f>INT(A241)</x:f>
        <x:v>46003</x:v>
      </x:c>
      <x:c r="C241" s="10" t="str">
        <x:f>TEXT(B241,"yyyy-mm")</x:f>
        <x:v>2025-12</x:v>
      </x:c>
      <x:c r="D241" s="10">
        <x:f>MONTH(B241)</x:f>
        <x:v>12</x:v>
      </x:c>
      <x:c r="E241" s="10" t="str">
        <x:f>TEXT(B241,"mmmm")</x:f>
        <x:v>December</x:v>
      </x:c>
      <x:c r="F241" s="10" t="str">
        <x:f>"Q"&amp;ROUNDUP(D241/3,0)</x:f>
        <x:v>Q4</x:v>
      </x:c>
      <x:c r="G241" s="10" t="str">
        <x:f>IF(OR(D241=12,D241&lt;=2),"Winter",IF(D241&lt;=5,"Spring",IF(D241&lt;=8,"Summer","Autumn")))</x:f>
        <x:v>Winter</x:v>
      </x:c>
      <x:c r="H241" s="11">
        <x:f>weather_data!E241-weather_data!D241</x:f>
        <x:v>-0.5</x:v>
      </x:c>
      <x:c r="I241" s="10">
        <x:f>IF(OR(weather_data!H241="light rain",weather_data!H241="moderate rain",weather_data!H241="drizzle",weather_data!H241="thunderstorm"),1,0)</x:f>
        <x:v>0</x:v>
      </x:c>
      <x:c r="J241" s="10">
        <x:f>IF(weather_data!I241&gt;=25,1,0)</x:f>
        <x:v>0</x:v>
      </x:c>
    </x:row>
    <x:row r="242">
      <x:c r="A242" s="8">
        <x:f>weather_data!B242</x:f>
        <x:v>46004.44444444445</x:v>
      </x:c>
      <x:c r="B242" s="9">
        <x:f>INT(A242)</x:f>
        <x:v>46004</x:v>
      </x:c>
      <x:c r="C242" s="10" t="str">
        <x:f>TEXT(B242,"yyyy-mm")</x:f>
        <x:v>2025-12</x:v>
      </x:c>
      <x:c r="D242" s="10">
        <x:f>MONTH(B242)</x:f>
        <x:v>12</x:v>
      </x:c>
      <x:c r="E242" s="10" t="str">
        <x:f>TEXT(B242,"mmmm")</x:f>
        <x:v>December</x:v>
      </x:c>
      <x:c r="F242" s="10" t="str">
        <x:f>"Q"&amp;ROUNDUP(D242/3,0)</x:f>
        <x:v>Q4</x:v>
      </x:c>
      <x:c r="G242" s="10" t="str">
        <x:f>IF(OR(D242=12,D242&lt;=2),"Winter",IF(D242&lt;=5,"Spring",IF(D242&lt;=8,"Summer","Autumn")))</x:f>
        <x:v>Winter</x:v>
      </x:c>
      <x:c r="H242" s="11">
        <x:f>weather_data!E242-weather_data!D242</x:f>
        <x:v>-1.299999999999999</x:v>
      </x:c>
      <x:c r="I242" s="10">
        <x:f>IF(OR(weather_data!H242="light rain",weather_data!H242="moderate rain",weather_data!H242="drizzle",weather_data!H242="thunderstorm"),1,0)</x:f>
        <x:v>0</x:v>
      </x:c>
      <x:c r="J242" s="10">
        <x:f>IF(weather_data!I242&gt;=25,1,0)</x:f>
        <x:v>0</x:v>
      </x:c>
    </x:row>
    <x:row r="243">
      <x:c r="A243" s="8">
        <x:f>weather_data!B243</x:f>
        <x:v>46005.625</x:v>
      </x:c>
      <x:c r="B243" s="9">
        <x:f>INT(A243)</x:f>
        <x:v>46005</x:v>
      </x:c>
      <x:c r="C243" s="10" t="str">
        <x:f>TEXT(B243,"yyyy-mm")</x:f>
        <x:v>2025-12</x:v>
      </x:c>
      <x:c r="D243" s="10">
        <x:f>MONTH(B243)</x:f>
        <x:v>12</x:v>
      </x:c>
      <x:c r="E243" s="10" t="str">
        <x:f>TEXT(B243,"mmmm")</x:f>
        <x:v>December</x:v>
      </x:c>
      <x:c r="F243" s="10" t="str">
        <x:f>"Q"&amp;ROUNDUP(D243/3,0)</x:f>
        <x:v>Q4</x:v>
      </x:c>
      <x:c r="G243" s="10" t="str">
        <x:f>IF(OR(D243=12,D243&lt;=2),"Winter",IF(D243&lt;=5,"Spring",IF(D243&lt;=8,"Summer","Autumn")))</x:f>
        <x:v>Winter</x:v>
      </x:c>
      <x:c r="H243" s="11">
        <x:f>weather_data!E243-weather_data!D243</x:f>
        <x:v>1.0999999999999996</x:v>
      </x:c>
      <x:c r="I243" s="10">
        <x:f>IF(OR(weather_data!H243="light rain",weather_data!H243="moderate rain",weather_data!H243="drizzle",weather_data!H243="thunderstorm"),1,0)</x:f>
        <x:v>0</x:v>
      </x:c>
      <x:c r="J243" s="10">
        <x:f>IF(weather_data!I243&gt;=25,1,0)</x:f>
        <x:v>1</x:v>
      </x:c>
    </x:row>
    <x:row r="244">
      <x:c r="A244" s="8">
        <x:f>weather_data!B244</x:f>
        <x:v>46006.54166666666</x:v>
      </x:c>
      <x:c r="B244" s="9">
        <x:f>INT(A244)</x:f>
        <x:v>46006</x:v>
      </x:c>
      <x:c r="C244" s="10" t="str">
        <x:f>TEXT(B244,"yyyy-mm")</x:f>
        <x:v>2025-12</x:v>
      </x:c>
      <x:c r="D244" s="10">
        <x:f>MONTH(B244)</x:f>
        <x:v>12</x:v>
      </x:c>
      <x:c r="E244" s="10" t="str">
        <x:f>TEXT(B244,"mmmm")</x:f>
        <x:v>December</x:v>
      </x:c>
      <x:c r="F244" s="10" t="str">
        <x:f>"Q"&amp;ROUNDUP(D244/3,0)</x:f>
        <x:v>Q4</x:v>
      </x:c>
      <x:c r="G244" s="10" t="str">
        <x:f>IF(OR(D244=12,D244&lt;=2),"Winter",IF(D244&lt;=5,"Spring",IF(D244&lt;=8,"Summer","Autumn")))</x:f>
        <x:v>Winter</x:v>
      </x:c>
      <x:c r="H244" s="11">
        <x:f>weather_data!E244-weather_data!D244</x:f>
        <x:v>0.20000000000000107</x:v>
      </x:c>
      <x:c r="I244" s="10">
        <x:f>IF(OR(weather_data!H244="light rain",weather_data!H244="moderate rain",weather_data!H244="drizzle",weather_data!H244="thunderstorm"),1,0)</x:f>
        <x:v>0</x:v>
      </x:c>
      <x:c r="J244" s="10">
        <x:f>IF(weather_data!I244&gt;=25,1,0)</x:f>
        <x:v>0</x:v>
      </x:c>
    </x:row>
    <x:row r="245">
      <x:c r="A245" s="8">
        <x:f>weather_data!B245</x:f>
        <x:v>46007.81944444445</x:v>
      </x:c>
      <x:c r="B245" s="9">
        <x:f>INT(A245)</x:f>
        <x:v>46007</x:v>
      </x:c>
      <x:c r="C245" s="10" t="str">
        <x:f>TEXT(B245,"yyyy-mm")</x:f>
        <x:v>2025-12</x:v>
      </x:c>
      <x:c r="D245" s="10">
        <x:f>MONTH(B245)</x:f>
        <x:v>12</x:v>
      </x:c>
      <x:c r="E245" s="10" t="str">
        <x:f>TEXT(B245,"mmmm")</x:f>
        <x:v>December</x:v>
      </x:c>
      <x:c r="F245" s="10" t="str">
        <x:f>"Q"&amp;ROUNDUP(D245/3,0)</x:f>
        <x:v>Q4</x:v>
      </x:c>
      <x:c r="G245" s="10" t="str">
        <x:f>IF(OR(D245=12,D245&lt;=2),"Winter",IF(D245&lt;=5,"Spring",IF(D245&lt;=8,"Summer","Autumn")))</x:f>
        <x:v>Winter</x:v>
      </x:c>
      <x:c r="H245" s="11">
        <x:f>weather_data!E245-weather_data!D245</x:f>
        <x:v>0.40000000000000036</x:v>
      </x:c>
      <x:c r="I245" s="10">
        <x:f>IF(OR(weather_data!H245="light rain",weather_data!H245="moderate rain",weather_data!H245="drizzle",weather_data!H245="thunderstorm"),1,0)</x:f>
        <x:v>0</x:v>
      </x:c>
      <x:c r="J245" s="10">
        <x:f>IF(weather_data!I245&gt;=25,1,0)</x:f>
        <x:v>0</x:v>
      </x:c>
    </x:row>
    <x:row r="246">
      <x:c r="A246" s="8">
        <x:f>weather_data!B246</x:f>
        <x:v>46008.56944444445</x:v>
      </x:c>
      <x:c r="B246" s="9">
        <x:f>INT(A246)</x:f>
        <x:v>46008</x:v>
      </x:c>
      <x:c r="C246" s="10" t="str">
        <x:f>TEXT(B246,"yyyy-mm")</x:f>
        <x:v>2025-12</x:v>
      </x:c>
      <x:c r="D246" s="10">
        <x:f>MONTH(B246)</x:f>
        <x:v>12</x:v>
      </x:c>
      <x:c r="E246" s="10" t="str">
        <x:f>TEXT(B246,"mmmm")</x:f>
        <x:v>December</x:v>
      </x:c>
      <x:c r="F246" s="10" t="str">
        <x:f>"Q"&amp;ROUNDUP(D246/3,0)</x:f>
        <x:v>Q4</x:v>
      </x:c>
      <x:c r="G246" s="10" t="str">
        <x:f>IF(OR(D246=12,D246&lt;=2),"Winter",IF(D246&lt;=5,"Spring",IF(D246&lt;=8,"Summer","Autumn")))</x:f>
        <x:v>Winter</x:v>
      </x:c>
      <x:c r="H246" s="11">
        <x:f>weather_data!E246-weather_data!D246</x:f>
        <x:v>-0.6999999999999993</x:v>
      </x:c>
      <x:c r="I246" s="10">
        <x:f>IF(OR(weather_data!H246="light rain",weather_data!H246="moderate rain",weather_data!H246="drizzle",weather_data!H246="thunderstorm"),1,0)</x:f>
        <x:v>0</x:v>
      </x:c>
      <x:c r="J246" s="10">
        <x:f>IF(weather_data!I246&gt;=25,1,0)</x:f>
        <x:v>0</x:v>
      </x:c>
    </x:row>
    <x:row r="247">
      <x:c r="A247" s="8">
        <x:f>weather_data!B247</x:f>
        <x:v>46009.77083333334</x:v>
      </x:c>
      <x:c r="B247" s="9">
        <x:f>INT(A247)</x:f>
        <x:v>46009</x:v>
      </x:c>
      <x:c r="C247" s="10" t="str">
        <x:f>TEXT(B247,"yyyy-mm")</x:f>
        <x:v>2025-12</x:v>
      </x:c>
      <x:c r="D247" s="10">
        <x:f>MONTH(B247)</x:f>
        <x:v>12</x:v>
      </x:c>
      <x:c r="E247" s="10" t="str">
        <x:f>TEXT(B247,"mmmm")</x:f>
        <x:v>December</x:v>
      </x:c>
      <x:c r="F247" s="10" t="str">
        <x:f>"Q"&amp;ROUNDUP(D247/3,0)</x:f>
        <x:v>Q4</x:v>
      </x:c>
      <x:c r="G247" s="10" t="str">
        <x:f>IF(OR(D247=12,D247&lt;=2),"Winter",IF(D247&lt;=5,"Spring",IF(D247&lt;=8,"Summer","Autumn")))</x:f>
        <x:v>Winter</x:v>
      </x:c>
      <x:c r="H247" s="11">
        <x:f>weather_data!E247-weather_data!D247</x:f>
        <x:v>0.6000000000000014</x:v>
      </x:c>
      <x:c r="I247" s="10">
        <x:f>IF(OR(weather_data!H247="light rain",weather_data!H247="moderate rain",weather_data!H247="drizzle",weather_data!H247="thunderstorm"),1,0)</x:f>
        <x:v>1</x:v>
      </x:c>
      <x:c r="J247" s="10">
        <x:f>IF(weather_data!I247&gt;=25,1,0)</x:f>
        <x:v>1</x:v>
      </x:c>
    </x:row>
    <x:row r="248">
      <x:c r="A248" s="8">
        <x:f>weather_data!B248</x:f>
        <x:v>46010.84722222222</x:v>
      </x:c>
      <x:c r="B248" s="9">
        <x:f>INT(A248)</x:f>
        <x:v>46010</x:v>
      </x:c>
      <x:c r="C248" s="10" t="str">
        <x:f>TEXT(B248,"yyyy-mm")</x:f>
        <x:v>2025-12</x:v>
      </x:c>
      <x:c r="D248" s="10">
        <x:f>MONTH(B248)</x:f>
        <x:v>12</x:v>
      </x:c>
      <x:c r="E248" s="10" t="str">
        <x:f>TEXT(B248,"mmmm")</x:f>
        <x:v>December</x:v>
      </x:c>
      <x:c r="F248" s="10" t="str">
        <x:f>"Q"&amp;ROUNDUP(D248/3,0)</x:f>
        <x:v>Q4</x:v>
      </x:c>
      <x:c r="G248" s="10" t="str">
        <x:f>IF(OR(D248=12,D248&lt;=2),"Winter",IF(D248&lt;=5,"Spring",IF(D248&lt;=8,"Summer","Autumn")))</x:f>
        <x:v>Winter</x:v>
      </x:c>
      <x:c r="H248" s="11">
        <x:f>weather_data!E248-weather_data!D248</x:f>
        <x:v>-0.3000000000000007</x:v>
      </x:c>
      <x:c r="I248" s="10">
        <x:f>IF(OR(weather_data!H248="light rain",weather_data!H248="moderate rain",weather_data!H248="drizzle",weather_data!H248="thunderstorm"),1,0)</x:f>
        <x:v>0</x:v>
      </x:c>
      <x:c r="J248" s="10">
        <x:f>IF(weather_data!I248&gt;=25,1,0)</x:f>
        <x:v>0</x:v>
      </x:c>
    </x:row>
    <x:row r="249">
      <x:c r="A249" s="8">
        <x:f>weather_data!B249</x:f>
        <x:v>46011.80555555555</x:v>
      </x:c>
      <x:c r="B249" s="9">
        <x:f>INT(A249)</x:f>
        <x:v>46011</x:v>
      </x:c>
      <x:c r="C249" s="10" t="str">
        <x:f>TEXT(B249,"yyyy-mm")</x:f>
        <x:v>2025-12</x:v>
      </x:c>
      <x:c r="D249" s="10">
        <x:f>MONTH(B249)</x:f>
        <x:v>12</x:v>
      </x:c>
      <x:c r="E249" s="10" t="str">
        <x:f>TEXT(B249,"mmmm")</x:f>
        <x:v>December</x:v>
      </x:c>
      <x:c r="F249" s="10" t="str">
        <x:f>"Q"&amp;ROUNDUP(D249/3,0)</x:f>
        <x:v>Q4</x:v>
      </x:c>
      <x:c r="G249" s="10" t="str">
        <x:f>IF(OR(D249=12,D249&lt;=2),"Winter",IF(D249&lt;=5,"Spring",IF(D249&lt;=8,"Summer","Autumn")))</x:f>
        <x:v>Winter</x:v>
      </x:c>
      <x:c r="H249" s="11">
        <x:f>weather_data!E249-weather_data!D249</x:f>
        <x:v>0.3999999999999986</x:v>
      </x:c>
      <x:c r="I249" s="10">
        <x:f>IF(OR(weather_data!H249="light rain",weather_data!H249="moderate rain",weather_data!H249="drizzle",weather_data!H249="thunderstorm"),1,0)</x:f>
        <x:v>1</x:v>
      </x:c>
      <x:c r="J249" s="10">
        <x:f>IF(weather_data!I249&gt;=25,1,0)</x:f>
        <x:v>1</x:v>
      </x:c>
    </x:row>
    <x:row r="250">
      <x:c r="A250" s="8">
        <x:f>weather_data!B250</x:f>
        <x:v>46012.31944444445</x:v>
      </x:c>
      <x:c r="B250" s="9">
        <x:f>INT(A250)</x:f>
        <x:v>46012</x:v>
      </x:c>
      <x:c r="C250" s="10" t="str">
        <x:f>TEXT(B250,"yyyy-mm")</x:f>
        <x:v>2025-12</x:v>
      </x:c>
      <x:c r="D250" s="10">
        <x:f>MONTH(B250)</x:f>
        <x:v>12</x:v>
      </x:c>
      <x:c r="E250" s="10" t="str">
        <x:f>TEXT(B250,"mmmm")</x:f>
        <x:v>December</x:v>
      </x:c>
      <x:c r="F250" s="10" t="str">
        <x:f>"Q"&amp;ROUNDUP(D250/3,0)</x:f>
        <x:v>Q4</x:v>
      </x:c>
      <x:c r="G250" s="10" t="str">
        <x:f>IF(OR(D250=12,D250&lt;=2),"Winter",IF(D250&lt;=5,"Spring",IF(D250&lt;=8,"Summer","Autumn")))</x:f>
        <x:v>Winter</x:v>
      </x:c>
      <x:c r="H250" s="11">
        <x:f>weather_data!E250-weather_data!D250</x:f>
        <x:v>-1.299999999999999</x:v>
      </x:c>
      <x:c r="I250" s="10">
        <x:f>IF(OR(weather_data!H250="light rain",weather_data!H250="moderate rain",weather_data!H250="drizzle",weather_data!H250="thunderstorm"),1,0)</x:f>
        <x:v>1</x:v>
      </x:c>
      <x:c r="J250" s="10">
        <x:f>IF(weather_data!I250&gt;=25,1,0)</x:f>
        <x:v>1</x:v>
      </x:c>
    </x:row>
    <x:row r="251">
      <x:c r="A251" s="8">
        <x:f>weather_data!B251</x:f>
        <x:v>46013.38194444445</x:v>
      </x:c>
      <x:c r="B251" s="9">
        <x:f>INT(A251)</x:f>
        <x:v>46013</x:v>
      </x:c>
      <x:c r="C251" s="10" t="str">
        <x:f>TEXT(B251,"yyyy-mm")</x:f>
        <x:v>2025-12</x:v>
      </x:c>
      <x:c r="D251" s="10">
        <x:f>MONTH(B251)</x:f>
        <x:v>12</x:v>
      </x:c>
      <x:c r="E251" s="10" t="str">
        <x:f>TEXT(B251,"mmmm")</x:f>
        <x:v>December</x:v>
      </x:c>
      <x:c r="F251" s="10" t="str">
        <x:f>"Q"&amp;ROUNDUP(D251/3,0)</x:f>
        <x:v>Q4</x:v>
      </x:c>
      <x:c r="G251" s="10" t="str">
        <x:f>IF(OR(D251=12,D251&lt;=2),"Winter",IF(D251&lt;=5,"Spring",IF(D251&lt;=8,"Summer","Autumn")))</x:f>
        <x:v>Winter</x:v>
      </x:c>
      <x:c r="H251" s="11">
        <x:f>weather_data!E251-weather_data!D251</x:f>
        <x:v>1.200000000000001</x:v>
      </x:c>
      <x:c r="I251" s="10">
        <x:f>IF(OR(weather_data!H251="light rain",weather_data!H251="moderate rain",weather_data!H251="drizzle",weather_data!H251="thunderstorm"),1,0)</x:f>
        <x:v>1</x:v>
      </x:c>
      <x:c r="J251" s="10">
        <x:f>IF(weather_data!I251&gt;=25,1,0)</x:f>
        <x:v>0</x:v>
      </x:c>
    </x:row>
    <x:row r="252">
      <x:c r="A252" s="8">
        <x:f>weather_data!B252</x:f>
        <x:v>46014.51388888889</x:v>
      </x:c>
      <x:c r="B252" s="9">
        <x:f>INT(A252)</x:f>
        <x:v>46014</x:v>
      </x:c>
      <x:c r="C252" s="10" t="str">
        <x:f>TEXT(B252,"yyyy-mm")</x:f>
        <x:v>2025-12</x:v>
      </x:c>
      <x:c r="D252" s="10">
        <x:f>MONTH(B252)</x:f>
        <x:v>12</x:v>
      </x:c>
      <x:c r="E252" s="10" t="str">
        <x:f>TEXT(B252,"mmmm")</x:f>
        <x:v>December</x:v>
      </x:c>
      <x:c r="F252" s="10" t="str">
        <x:f>"Q"&amp;ROUNDUP(D252/3,0)</x:f>
        <x:v>Q4</x:v>
      </x:c>
      <x:c r="G252" s="10" t="str">
        <x:f>IF(OR(D252=12,D252&lt;=2),"Winter",IF(D252&lt;=5,"Spring",IF(D252&lt;=8,"Summer","Autumn")))</x:f>
        <x:v>Winter</x:v>
      </x:c>
      <x:c r="H252" s="11">
        <x:f>weather_data!E252-weather_data!D252</x:f>
        <x:v>0.5999999999999996</x:v>
      </x:c>
      <x:c r="I252" s="10">
        <x:f>IF(OR(weather_data!H252="light rain",weather_data!H252="moderate rain",weather_data!H252="drizzle",weather_data!H252="thunderstorm"),1,0)</x:f>
        <x:v>0</x:v>
      </x:c>
      <x:c r="J252" s="10">
        <x:f>IF(weather_data!I252&gt;=25,1,0)</x:f>
        <x:v>0</x:v>
      </x:c>
    </x:row>
    <x:row r="253">
      <x:c r="A253" s="8">
        <x:f>weather_data!B253</x:f>
        <x:v>46015.34027777778</x:v>
      </x:c>
      <x:c r="B253" s="9">
        <x:f>INT(A253)</x:f>
        <x:v>46015</x:v>
      </x:c>
      <x:c r="C253" s="10" t="str">
        <x:f>TEXT(B253,"yyyy-mm")</x:f>
        <x:v>2025-12</x:v>
      </x:c>
      <x:c r="D253" s="10">
        <x:f>MONTH(B253)</x:f>
        <x:v>12</x:v>
      </x:c>
      <x:c r="E253" s="10" t="str">
        <x:f>TEXT(B253,"mmmm")</x:f>
        <x:v>December</x:v>
      </x:c>
      <x:c r="F253" s="10" t="str">
        <x:f>"Q"&amp;ROUNDUP(D253/3,0)</x:f>
        <x:v>Q4</x:v>
      </x:c>
      <x:c r="G253" s="10" t="str">
        <x:f>IF(OR(D253=12,D253&lt;=2),"Winter",IF(D253&lt;=5,"Spring",IF(D253&lt;=8,"Summer","Autumn")))</x:f>
        <x:v>Winter</x:v>
      </x:c>
      <x:c r="H253" s="11">
        <x:f>weather_data!E253-weather_data!D253</x:f>
        <x:v>-0.3000000000000007</x:v>
      </x:c>
      <x:c r="I253" s="10">
        <x:f>IF(OR(weather_data!H253="light rain",weather_data!H253="moderate rain",weather_data!H253="drizzle",weather_data!H253="thunderstorm"),1,0)</x:f>
        <x:v>0</x:v>
      </x:c>
      <x:c r="J253" s="10">
        <x:f>IF(weather_data!I253&gt;=25,1,0)</x:f>
        <x:v>0</x:v>
      </x:c>
    </x:row>
    <x:row r="254">
      <x:c r="A254" s="8">
        <x:f>weather_data!B254</x:f>
        <x:v>46016.54861111111</x:v>
      </x:c>
      <x:c r="B254" s="9">
        <x:f>INT(A254)</x:f>
        <x:v>46016</x:v>
      </x:c>
      <x:c r="C254" s="10" t="str">
        <x:f>TEXT(B254,"yyyy-mm")</x:f>
        <x:v>2025-12</x:v>
      </x:c>
      <x:c r="D254" s="10">
        <x:f>MONTH(B254)</x:f>
        <x:v>12</x:v>
      </x:c>
      <x:c r="E254" s="10" t="str">
        <x:f>TEXT(B254,"mmmm")</x:f>
        <x:v>December</x:v>
      </x:c>
      <x:c r="F254" s="10" t="str">
        <x:f>"Q"&amp;ROUNDUP(D254/3,0)</x:f>
        <x:v>Q4</x:v>
      </x:c>
      <x:c r="G254" s="10" t="str">
        <x:f>IF(OR(D254=12,D254&lt;=2),"Winter",IF(D254&lt;=5,"Spring",IF(D254&lt;=8,"Summer","Autumn")))</x:f>
        <x:v>Winter</x:v>
      </x:c>
      <x:c r="H254" s="11">
        <x:f>weather_data!E254-weather_data!D254</x:f>
        <x:v>-1.4000000000000004</x:v>
      </x:c>
      <x:c r="I254" s="10">
        <x:f>IF(OR(weather_data!H254="light rain",weather_data!H254="moderate rain",weather_data!H254="drizzle",weather_data!H254="thunderstorm"),1,0)</x:f>
        <x:v>0</x:v>
      </x:c>
      <x:c r="J254" s="10">
        <x:f>IF(weather_data!I254&gt;=25,1,0)</x:f>
        <x:v>0</x:v>
      </x:c>
    </x:row>
    <x:row r="255">
      <x:c r="A255" s="8">
        <x:f>weather_data!B255</x:f>
        <x:v>46017.34027777778</x:v>
      </x:c>
      <x:c r="B255" s="9">
        <x:f>INT(A255)</x:f>
        <x:v>46017</x:v>
      </x:c>
      <x:c r="C255" s="10" t="str">
        <x:f>TEXT(B255,"yyyy-mm")</x:f>
        <x:v>2025-12</x:v>
      </x:c>
      <x:c r="D255" s="10">
        <x:f>MONTH(B255)</x:f>
        <x:v>12</x:v>
      </x:c>
      <x:c r="E255" s="10" t="str">
        <x:f>TEXT(B255,"mmmm")</x:f>
        <x:v>December</x:v>
      </x:c>
      <x:c r="F255" s="10" t="str">
        <x:f>"Q"&amp;ROUNDUP(D255/3,0)</x:f>
        <x:v>Q4</x:v>
      </x:c>
      <x:c r="G255" s="10" t="str">
        <x:f>IF(OR(D255=12,D255&lt;=2),"Winter",IF(D255&lt;=5,"Spring",IF(D255&lt;=8,"Summer","Autumn")))</x:f>
        <x:v>Winter</x:v>
      </x:c>
      <x:c r="H255" s="11">
        <x:f>weather_data!E255-weather_data!D255</x:f>
        <x:v>-0.5999999999999996</x:v>
      </x:c>
      <x:c r="I255" s="10">
        <x:f>IF(OR(weather_data!H255="light rain",weather_data!H255="moderate rain",weather_data!H255="drizzle",weather_data!H255="thunderstorm"),1,0)</x:f>
        <x:v>1</x:v>
      </x:c>
      <x:c r="J255" s="10">
        <x:f>IF(weather_data!I255&gt;=25,1,0)</x:f>
        <x:v>0</x:v>
      </x:c>
    </x:row>
    <x:row r="256">
      <x:c r="A256" s="8">
        <x:f>weather_data!B256</x:f>
        <x:v>46018.27083333334</x:v>
      </x:c>
      <x:c r="B256" s="9">
        <x:f>INT(A256)</x:f>
        <x:v>46018</x:v>
      </x:c>
      <x:c r="C256" s="10" t="str">
        <x:f>TEXT(B256,"yyyy-mm")</x:f>
        <x:v>2025-12</x:v>
      </x:c>
      <x:c r="D256" s="10">
        <x:f>MONTH(B256)</x:f>
        <x:v>12</x:v>
      </x:c>
      <x:c r="E256" s="10" t="str">
        <x:f>TEXT(B256,"mmmm")</x:f>
        <x:v>December</x:v>
      </x:c>
      <x:c r="F256" s="10" t="str">
        <x:f>"Q"&amp;ROUNDUP(D256/3,0)</x:f>
        <x:v>Q4</x:v>
      </x:c>
      <x:c r="G256" s="10" t="str">
        <x:f>IF(OR(D256=12,D256&lt;=2),"Winter",IF(D256&lt;=5,"Spring",IF(D256&lt;=8,"Summer","Autumn")))</x:f>
        <x:v>Winter</x:v>
      </x:c>
      <x:c r="H256" s="11">
        <x:f>weather_data!E256-weather_data!D256</x:f>
        <x:v>-0.6999999999999993</x:v>
      </x:c>
      <x:c r="I256" s="10">
        <x:f>IF(OR(weather_data!H256="light rain",weather_data!H256="moderate rain",weather_data!H256="drizzle",weather_data!H256="thunderstorm"),1,0)</x:f>
        <x:v>1</x:v>
      </x:c>
      <x:c r="J256" s="10">
        <x:f>IF(weather_data!I256&gt;=25,1,0)</x:f>
        <x:v>0</x:v>
      </x:c>
    </x:row>
    <x:row r="257">
      <x:c r="A257" s="8">
        <x:f>weather_data!B257</x:f>
        <x:v>46019.86805555555</x:v>
      </x:c>
      <x:c r="B257" s="9">
        <x:f>INT(A257)</x:f>
        <x:v>46019</x:v>
      </x:c>
      <x:c r="C257" s="10" t="str">
        <x:f>TEXT(B257,"yyyy-mm")</x:f>
        <x:v>2025-12</x:v>
      </x:c>
      <x:c r="D257" s="10">
        <x:f>MONTH(B257)</x:f>
        <x:v>12</x:v>
      </x:c>
      <x:c r="E257" s="10" t="str">
        <x:f>TEXT(B257,"mmmm")</x:f>
        <x:v>December</x:v>
      </x:c>
      <x:c r="F257" s="10" t="str">
        <x:f>"Q"&amp;ROUNDUP(D257/3,0)</x:f>
        <x:v>Q4</x:v>
      </x:c>
      <x:c r="G257" s="10" t="str">
        <x:f>IF(OR(D257=12,D257&lt;=2),"Winter",IF(D257&lt;=5,"Spring",IF(D257&lt;=8,"Summer","Autumn")))</x:f>
        <x:v>Winter</x:v>
      </x:c>
      <x:c r="H257" s="11">
        <x:f>weather_data!E257-weather_data!D257</x:f>
        <x:v>0.8999999999999986</x:v>
      </x:c>
      <x:c r="I257" s="10">
        <x:f>IF(OR(weather_data!H257="light rain",weather_data!H257="moderate rain",weather_data!H257="drizzle",weather_data!H257="thunderstorm"),1,0)</x:f>
        <x:v>1</x:v>
      </x:c>
      <x:c r="J257" s="10">
        <x:f>IF(weather_data!I257&gt;=25,1,0)</x:f>
        <x:v>0</x:v>
      </x:c>
    </x:row>
    <x:row r="258">
      <x:c r="A258" s="8">
        <x:f>weather_data!B258</x:f>
        <x:v>46020.88888888889</x:v>
      </x:c>
      <x:c r="B258" s="9">
        <x:f>INT(A258)</x:f>
        <x:v>46020</x:v>
      </x:c>
      <x:c r="C258" s="10" t="str">
        <x:f>TEXT(B258,"yyyy-mm")</x:f>
        <x:v>2025-12</x:v>
      </x:c>
      <x:c r="D258" s="10">
        <x:f>MONTH(B258)</x:f>
        <x:v>12</x:v>
      </x:c>
      <x:c r="E258" s="10" t="str">
        <x:f>TEXT(B258,"mmmm")</x:f>
        <x:v>December</x:v>
      </x:c>
      <x:c r="F258" s="10" t="str">
        <x:f>"Q"&amp;ROUNDUP(D258/3,0)</x:f>
        <x:v>Q4</x:v>
      </x:c>
      <x:c r="G258" s="10" t="str">
        <x:f>IF(OR(D258=12,D258&lt;=2),"Winter",IF(D258&lt;=5,"Spring",IF(D258&lt;=8,"Summer","Autumn")))</x:f>
        <x:v>Winter</x:v>
      </x:c>
      <x:c r="H258" s="11">
        <x:f>weather_data!E258-weather_data!D258</x:f>
        <x:v>1.200000000000001</x:v>
      </x:c>
      <x:c r="I258" s="10">
        <x:f>IF(OR(weather_data!H258="light rain",weather_data!H258="moderate rain",weather_data!H258="drizzle",weather_data!H258="thunderstorm"),1,0)</x:f>
        <x:v>0</x:v>
      </x:c>
      <x:c r="J258" s="10">
        <x:f>IF(weather_data!I258&gt;=25,1,0)</x:f>
        <x:v>0</x:v>
      </x:c>
    </x:row>
    <x:row r="259">
      <x:c r="A259" s="8">
        <x:f>weather_data!B259</x:f>
        <x:v>46021.29861111111</x:v>
      </x:c>
      <x:c r="B259" s="9">
        <x:f>INT(A259)</x:f>
        <x:v>46021</x:v>
      </x:c>
      <x:c r="C259" s="10" t="str">
        <x:f>TEXT(B259,"yyyy-mm")</x:f>
        <x:v>2025-12</x:v>
      </x:c>
      <x:c r="D259" s="10">
        <x:f>MONTH(B259)</x:f>
        <x:v>12</x:v>
      </x:c>
      <x:c r="E259" s="10" t="str">
        <x:f>TEXT(B259,"mmmm")</x:f>
        <x:v>December</x:v>
      </x:c>
      <x:c r="F259" s="10" t="str">
        <x:f>"Q"&amp;ROUNDUP(D259/3,0)</x:f>
        <x:v>Q4</x:v>
      </x:c>
      <x:c r="G259" s="10" t="str">
        <x:f>IF(OR(D259=12,D259&lt;=2),"Winter",IF(D259&lt;=5,"Spring",IF(D259&lt;=8,"Summer","Autumn")))</x:f>
        <x:v>Winter</x:v>
      </x:c>
      <x:c r="H259" s="11">
        <x:f>weather_data!E259-weather_data!D259</x:f>
        <x:v>-0.40000000000000036</x:v>
      </x:c>
      <x:c r="I259" s="10">
        <x:f>IF(OR(weather_data!H259="light rain",weather_data!H259="moderate rain",weather_data!H259="drizzle",weather_data!H259="thunderstorm"),1,0)</x:f>
        <x:v>0</x:v>
      </x:c>
      <x:c r="J259" s="10">
        <x:f>IF(weather_data!I259&gt;=25,1,0)</x:f>
        <x:v>0</x:v>
      </x:c>
    </x:row>
    <x:row r="260">
      <x:c r="A260" s="8">
        <x:f>weather_data!B260</x:f>
        <x:v>46022.65972222222</x:v>
      </x:c>
      <x:c r="B260" s="9">
        <x:f>INT(A260)</x:f>
        <x:v>46022</x:v>
      </x:c>
      <x:c r="C260" s="10" t="str">
        <x:f>TEXT(B260,"yyyy-mm")</x:f>
        <x:v>2025-12</x:v>
      </x:c>
      <x:c r="D260" s="10">
        <x:f>MONTH(B260)</x:f>
        <x:v>12</x:v>
      </x:c>
      <x:c r="E260" s="10" t="str">
        <x:f>TEXT(B260,"mmmm")</x:f>
        <x:v>December</x:v>
      </x:c>
      <x:c r="F260" s="10" t="str">
        <x:f>"Q"&amp;ROUNDUP(D260/3,0)</x:f>
        <x:v>Q4</x:v>
      </x:c>
      <x:c r="G260" s="10" t="str">
        <x:f>IF(OR(D260=12,D260&lt;=2),"Winter",IF(D260&lt;=5,"Spring",IF(D260&lt;=8,"Summer","Autumn")))</x:f>
        <x:v>Winter</x:v>
      </x:c>
      <x:c r="H260" s="11">
        <x:f>weather_data!E260-weather_data!D260</x:f>
        <x:v>0.29999999999999893</x:v>
      </x:c>
      <x:c r="I260" s="10">
        <x:f>IF(OR(weather_data!H260="light rain",weather_data!H260="moderate rain",weather_data!H260="drizzle",weather_data!H260="thunderstorm"),1,0)</x:f>
        <x:v>0</x:v>
      </x:c>
      <x:c r="J260" s="10">
        <x:f>IF(weather_data!I260&gt;=25,1,0)</x:f>
        <x:v>0</x:v>
      </x:c>
    </x:row>
    <x:row r="261">
      <x:c r="A261" s="8">
        <x:f>weather_data!B261</x:f>
        <x:v>46023.65972222222</x:v>
      </x:c>
      <x:c r="B261" s="9">
        <x:f>INT(A261)</x:f>
        <x:v>46023</x:v>
      </x:c>
      <x:c r="C261" s="10" t="str">
        <x:f>TEXT(B261,"yyyy-mm")</x:f>
        <x:v>2026-01</x:v>
      </x:c>
      <x:c r="D261" s="10">
        <x:f>MONTH(B261)</x:f>
        <x:v>1</x:v>
      </x:c>
      <x:c r="E261" s="10" t="str">
        <x:f>TEXT(B261,"mmmm")</x:f>
        <x:v>January</x:v>
      </x:c>
      <x:c r="F261" s="10" t="str">
        <x:f>"Q"&amp;ROUNDUP(D261/3,0)</x:f>
        <x:v>Q1</x:v>
      </x:c>
      <x:c r="G261" s="10" t="str">
        <x:f>IF(OR(D261=12,D261&lt;=2),"Winter",IF(D261&lt;=5,"Spring",IF(D261&lt;=8,"Summer","Autumn")))</x:f>
        <x:v>Winter</x:v>
      </x:c>
      <x:c r="H261" s="11">
        <x:f>weather_data!E261-weather_data!D261</x:f>
        <x:v>0.40000000000000036</x:v>
      </x:c>
      <x:c r="I261" s="10">
        <x:f>IF(OR(weather_data!H261="light rain",weather_data!H261="moderate rain",weather_data!H261="drizzle",weather_data!H261="thunderstorm"),1,0)</x:f>
        <x:v>1</x:v>
      </x:c>
      <x:c r="J261" s="10">
        <x:f>IF(weather_data!I261&gt;=25,1,0)</x:f>
        <x:v>1</x:v>
      </x:c>
    </x:row>
    <x:row r="262">
      <x:c r="A262" s="8">
        <x:f>weather_data!B262</x:f>
        <x:v>46024.83333333334</x:v>
      </x:c>
      <x:c r="B262" s="9">
        <x:f>INT(A262)</x:f>
        <x:v>46024</x:v>
      </x:c>
      <x:c r="C262" s="10" t="str">
        <x:f>TEXT(B262,"yyyy-mm")</x:f>
        <x:v>2026-01</x:v>
      </x:c>
      <x:c r="D262" s="10">
        <x:f>MONTH(B262)</x:f>
        <x:v>1</x:v>
      </x:c>
      <x:c r="E262" s="10" t="str">
        <x:f>TEXT(B262,"mmmm")</x:f>
        <x:v>January</x:v>
      </x:c>
      <x:c r="F262" s="10" t="str">
        <x:f>"Q"&amp;ROUNDUP(D262/3,0)</x:f>
        <x:v>Q1</x:v>
      </x:c>
      <x:c r="G262" s="10" t="str">
        <x:f>IF(OR(D262=12,D262&lt;=2),"Winter",IF(D262&lt;=5,"Spring",IF(D262&lt;=8,"Summer","Autumn")))</x:f>
        <x:v>Winter</x:v>
      </x:c>
      <x:c r="H262" s="11">
        <x:f>weather_data!E262-weather_data!D262</x:f>
        <x:v>1</x:v>
      </x:c>
      <x:c r="I262" s="10">
        <x:f>IF(OR(weather_data!H262="light rain",weather_data!H262="moderate rain",weather_data!H262="drizzle",weather_data!H262="thunderstorm"),1,0)</x:f>
        <x:v>1</x:v>
      </x:c>
      <x:c r="J262" s="10">
        <x:f>IF(weather_data!I262&gt;=25,1,0)</x:f>
        <x:v>0</x:v>
      </x:c>
    </x:row>
    <x:row r="263">
      <x:c r="A263" s="8">
        <x:f>weather_data!B263</x:f>
        <x:v>46025.55555555555</x:v>
      </x:c>
      <x:c r="B263" s="9">
        <x:f>INT(A263)</x:f>
        <x:v>46025</x:v>
      </x:c>
      <x:c r="C263" s="10" t="str">
        <x:f>TEXT(B263,"yyyy-mm")</x:f>
        <x:v>2026-01</x:v>
      </x:c>
      <x:c r="D263" s="10">
        <x:f>MONTH(B263)</x:f>
        <x:v>1</x:v>
      </x:c>
      <x:c r="E263" s="10" t="str">
        <x:f>TEXT(B263,"mmmm")</x:f>
        <x:v>January</x:v>
      </x:c>
      <x:c r="F263" s="10" t="str">
        <x:f>"Q"&amp;ROUNDUP(D263/3,0)</x:f>
        <x:v>Q1</x:v>
      </x:c>
      <x:c r="G263" s="10" t="str">
        <x:f>IF(OR(D263=12,D263&lt;=2),"Winter",IF(D263&lt;=5,"Spring",IF(D263&lt;=8,"Summer","Autumn")))</x:f>
        <x:v>Winter</x:v>
      </x:c>
      <x:c r="H263" s="11">
        <x:f>weather_data!E263-weather_data!D263</x:f>
        <x:v>-0.7000000000000002</x:v>
      </x:c>
      <x:c r="I263" s="10">
        <x:f>IF(OR(weather_data!H263="light rain",weather_data!H263="moderate rain",weather_data!H263="drizzle",weather_data!H263="thunderstorm"),1,0)</x:f>
        <x:v>0</x:v>
      </x:c>
      <x:c r="J263" s="10">
        <x:f>IF(weather_data!I263&gt;=25,1,0)</x:f>
        <x:v>0</x:v>
      </x:c>
    </x:row>
    <x:row r="264">
      <x:c r="A264" s="8">
        <x:f>weather_data!B264</x:f>
        <x:v>46026.52083333334</x:v>
      </x:c>
      <x:c r="B264" s="9">
        <x:f>INT(A264)</x:f>
        <x:v>46026</x:v>
      </x:c>
      <x:c r="C264" s="10" t="str">
        <x:f>TEXT(B264,"yyyy-mm")</x:f>
        <x:v>2026-01</x:v>
      </x:c>
      <x:c r="D264" s="10">
        <x:f>MONTH(B264)</x:f>
        <x:v>1</x:v>
      </x:c>
      <x:c r="E264" s="10" t="str">
        <x:f>TEXT(B264,"mmmm")</x:f>
        <x:v>January</x:v>
      </x:c>
      <x:c r="F264" s="10" t="str">
        <x:f>"Q"&amp;ROUNDUP(D264/3,0)</x:f>
        <x:v>Q1</x:v>
      </x:c>
      <x:c r="G264" s="10" t="str">
        <x:f>IF(OR(D264=12,D264&lt;=2),"Winter",IF(D264&lt;=5,"Spring",IF(D264&lt;=8,"Summer","Autumn")))</x:f>
        <x:v>Winter</x:v>
      </x:c>
      <x:c r="H264" s="11">
        <x:f>weather_data!E264-weather_data!D264</x:f>
        <x:v>0.5</x:v>
      </x:c>
      <x:c r="I264" s="10">
        <x:f>IF(OR(weather_data!H264="light rain",weather_data!H264="moderate rain",weather_data!H264="drizzle",weather_data!H264="thunderstorm"),1,0)</x:f>
        <x:v>0</x:v>
      </x:c>
      <x:c r="J264" s="10">
        <x:f>IF(weather_data!I264&gt;=25,1,0)</x:f>
        <x:v>0</x:v>
      </x:c>
    </x:row>
    <x:row r="265">
      <x:c r="A265" s="8">
        <x:f>weather_data!B265</x:f>
        <x:v>46027.40277777778</x:v>
      </x:c>
      <x:c r="B265" s="9">
        <x:f>INT(A265)</x:f>
        <x:v>46027</x:v>
      </x:c>
      <x:c r="C265" s="10" t="str">
        <x:f>TEXT(B265,"yyyy-mm")</x:f>
        <x:v>2026-01</x:v>
      </x:c>
      <x:c r="D265" s="10">
        <x:f>MONTH(B265)</x:f>
        <x:v>1</x:v>
      </x:c>
      <x:c r="E265" s="10" t="str">
        <x:f>TEXT(B265,"mmmm")</x:f>
        <x:v>January</x:v>
      </x:c>
      <x:c r="F265" s="10" t="str">
        <x:f>"Q"&amp;ROUNDUP(D265/3,0)</x:f>
        <x:v>Q1</x:v>
      </x:c>
      <x:c r="G265" s="10" t="str">
        <x:f>IF(OR(D265=12,D265&lt;=2),"Winter",IF(D265&lt;=5,"Spring",IF(D265&lt;=8,"Summer","Autumn")))</x:f>
        <x:v>Winter</x:v>
      </x:c>
      <x:c r="H265" s="11">
        <x:f>weather_data!E265-weather_data!D265</x:f>
        <x:v>-0.9000000000000004</x:v>
      </x:c>
      <x:c r="I265" s="10">
        <x:f>IF(OR(weather_data!H265="light rain",weather_data!H265="moderate rain",weather_data!H265="drizzle",weather_data!H265="thunderstorm"),1,0)</x:f>
        <x:v>0</x:v>
      </x:c>
      <x:c r="J265" s="10">
        <x:f>IF(weather_data!I265&gt;=25,1,0)</x:f>
        <x:v>0</x:v>
      </x:c>
    </x:row>
    <x:row r="266">
      <x:c r="A266" s="8">
        <x:f>weather_data!B266</x:f>
        <x:v>46028.57638888889</x:v>
      </x:c>
      <x:c r="B266" s="9">
        <x:f>INT(A266)</x:f>
        <x:v>46028</x:v>
      </x:c>
      <x:c r="C266" s="10" t="str">
        <x:f>TEXT(B266,"yyyy-mm")</x:f>
        <x:v>2026-01</x:v>
      </x:c>
      <x:c r="D266" s="10">
        <x:f>MONTH(B266)</x:f>
        <x:v>1</x:v>
      </x:c>
      <x:c r="E266" s="10" t="str">
        <x:f>TEXT(B266,"mmmm")</x:f>
        <x:v>January</x:v>
      </x:c>
      <x:c r="F266" s="10" t="str">
        <x:f>"Q"&amp;ROUNDUP(D266/3,0)</x:f>
        <x:v>Q1</x:v>
      </x:c>
      <x:c r="G266" s="10" t="str">
        <x:f>IF(OR(D266=12,D266&lt;=2),"Winter",IF(D266&lt;=5,"Spring",IF(D266&lt;=8,"Summer","Autumn")))</x:f>
        <x:v>Winter</x:v>
      </x:c>
      <x:c r="H266" s="11">
        <x:f>weather_data!E266-weather_data!D266</x:f>
        <x:v>-1.5999999999999996</x:v>
      </x:c>
      <x:c r="I266" s="10">
        <x:f>IF(OR(weather_data!H266="light rain",weather_data!H266="moderate rain",weather_data!H266="drizzle",weather_data!H266="thunderstorm"),1,0)</x:f>
        <x:v>0</x:v>
      </x:c>
      <x:c r="J266" s="10">
        <x:f>IF(weather_data!I266&gt;=25,1,0)</x:f>
        <x:v>1</x:v>
      </x:c>
    </x:row>
    <x:row r="267">
      <x:c r="A267" s="8">
        <x:f>weather_data!B267</x:f>
        <x:v>46029.43055555555</x:v>
      </x:c>
      <x:c r="B267" s="9">
        <x:f>INT(A267)</x:f>
        <x:v>46029</x:v>
      </x:c>
      <x:c r="C267" s="10" t="str">
        <x:f>TEXT(B267,"yyyy-mm")</x:f>
        <x:v>2026-01</x:v>
      </x:c>
      <x:c r="D267" s="10">
        <x:f>MONTH(B267)</x:f>
        <x:v>1</x:v>
      </x:c>
      <x:c r="E267" s="10" t="str">
        <x:f>TEXT(B267,"mmmm")</x:f>
        <x:v>January</x:v>
      </x:c>
      <x:c r="F267" s="10" t="str">
        <x:f>"Q"&amp;ROUNDUP(D267/3,0)</x:f>
        <x:v>Q1</x:v>
      </x:c>
      <x:c r="G267" s="10" t="str">
        <x:f>IF(OR(D267=12,D267&lt;=2),"Winter",IF(D267&lt;=5,"Spring",IF(D267&lt;=8,"Summer","Autumn")))</x:f>
        <x:v>Winter</x:v>
      </x:c>
      <x:c r="H267" s="11">
        <x:f>weather_data!E267-weather_data!D267</x:f>
        <x:v>-1.3000000000000007</x:v>
      </x:c>
      <x:c r="I267" s="10">
        <x:f>IF(OR(weather_data!H267="light rain",weather_data!H267="moderate rain",weather_data!H267="drizzle",weather_data!H267="thunderstorm"),1,0)</x:f>
        <x:v>0</x:v>
      </x:c>
      <x:c r="J267" s="10">
        <x:f>IF(weather_data!I267&gt;=25,1,0)</x:f>
        <x:v>1</x:v>
      </x:c>
    </x:row>
    <x:row r="268">
      <x:c r="A268" s="8">
        <x:f>weather_data!B268</x:f>
        <x:v>46030.41666666666</x:v>
      </x:c>
      <x:c r="B268" s="9">
        <x:f>INT(A268)</x:f>
        <x:v>46030</x:v>
      </x:c>
      <x:c r="C268" s="10" t="str">
        <x:f>TEXT(B268,"yyyy-mm")</x:f>
        <x:v>2026-01</x:v>
      </x:c>
      <x:c r="D268" s="10">
        <x:f>MONTH(B268)</x:f>
        <x:v>1</x:v>
      </x:c>
      <x:c r="E268" s="10" t="str">
        <x:f>TEXT(B268,"mmmm")</x:f>
        <x:v>January</x:v>
      </x:c>
      <x:c r="F268" s="10" t="str">
        <x:f>"Q"&amp;ROUNDUP(D268/3,0)</x:f>
        <x:v>Q1</x:v>
      </x:c>
      <x:c r="G268" s="10" t="str">
        <x:f>IF(OR(D268=12,D268&lt;=2),"Winter",IF(D268&lt;=5,"Spring",IF(D268&lt;=8,"Summer","Autumn")))</x:f>
        <x:v>Winter</x:v>
      </x:c>
      <x:c r="H268" s="11">
        <x:f>weather_data!E268-weather_data!D268</x:f>
        <x:v>-1.0000000000000009</x:v>
      </x:c>
      <x:c r="I268" s="10">
        <x:f>IF(OR(weather_data!H268="light rain",weather_data!H268="moderate rain",weather_data!H268="drizzle",weather_data!H268="thunderstorm"),1,0)</x:f>
        <x:v>0</x:v>
      </x:c>
      <x:c r="J268" s="10">
        <x:f>IF(weather_data!I268&gt;=25,1,0)</x:f>
        <x:v>0</x:v>
      </x:c>
    </x:row>
    <x:row r="269">
      <x:c r="A269" s="8">
        <x:f>weather_data!B269</x:f>
        <x:v>46031.29861111111</x:v>
      </x:c>
      <x:c r="B269" s="9">
        <x:f>INT(A269)</x:f>
        <x:v>46031</x:v>
      </x:c>
      <x:c r="C269" s="10" t="str">
        <x:f>TEXT(B269,"yyyy-mm")</x:f>
        <x:v>2026-01</x:v>
      </x:c>
      <x:c r="D269" s="10">
        <x:f>MONTH(B269)</x:f>
        <x:v>1</x:v>
      </x:c>
      <x:c r="E269" s="10" t="str">
        <x:f>TEXT(B269,"mmmm")</x:f>
        <x:v>January</x:v>
      </x:c>
      <x:c r="F269" s="10" t="str">
        <x:f>"Q"&amp;ROUNDUP(D269/3,0)</x:f>
        <x:v>Q1</x:v>
      </x:c>
      <x:c r="G269" s="10" t="str">
        <x:f>IF(OR(D269=12,D269&lt;=2),"Winter",IF(D269&lt;=5,"Spring",IF(D269&lt;=8,"Summer","Autumn")))</x:f>
        <x:v>Winter</x:v>
      </x:c>
      <x:c r="H269" s="11">
        <x:f>weather_data!E269-weather_data!D269</x:f>
        <x:v>-0.3000000000000007</x:v>
      </x:c>
      <x:c r="I269" s="10">
        <x:f>IF(OR(weather_data!H269="light rain",weather_data!H269="moderate rain",weather_data!H269="drizzle",weather_data!H269="thunderstorm"),1,0)</x:f>
        <x:v>0</x:v>
      </x:c>
      <x:c r="J269" s="10">
        <x:f>IF(weather_data!I269&gt;=25,1,0)</x:f>
        <x:v>0</x:v>
      </x:c>
    </x:row>
    <x:row r="270">
      <x:c r="A270" s="8">
        <x:f>weather_data!B270</x:f>
        <x:v>46032.65277777778</x:v>
      </x:c>
      <x:c r="B270" s="9">
        <x:f>INT(A270)</x:f>
        <x:v>46032</x:v>
      </x:c>
      <x:c r="C270" s="10" t="str">
        <x:f>TEXT(B270,"yyyy-mm")</x:f>
        <x:v>2026-01</x:v>
      </x:c>
      <x:c r="D270" s="10">
        <x:f>MONTH(B270)</x:f>
        <x:v>1</x:v>
      </x:c>
      <x:c r="E270" s="10" t="str">
        <x:f>TEXT(B270,"mmmm")</x:f>
        <x:v>January</x:v>
      </x:c>
      <x:c r="F270" s="10" t="str">
        <x:f>"Q"&amp;ROUNDUP(D270/3,0)</x:f>
        <x:v>Q1</x:v>
      </x:c>
      <x:c r="G270" s="10" t="str">
        <x:f>IF(OR(D270=12,D270&lt;=2),"Winter",IF(D270&lt;=5,"Spring",IF(D270&lt;=8,"Summer","Autumn")))</x:f>
        <x:v>Winter</x:v>
      </x:c>
      <x:c r="H270" s="11">
        <x:f>weather_data!E270-weather_data!D270</x:f>
        <x:v>-0.9000000000000004</x:v>
      </x:c>
      <x:c r="I270" s="10">
        <x:f>IF(OR(weather_data!H270="light rain",weather_data!H270="moderate rain",weather_data!H270="drizzle",weather_data!H270="thunderstorm"),1,0)</x:f>
        <x:v>1</x:v>
      </x:c>
      <x:c r="J270" s="10">
        <x:f>IF(weather_data!I270&gt;=25,1,0)</x:f>
        <x:v>0</x:v>
      </x:c>
    </x:row>
    <x:row r="271">
      <x:c r="A271" s="8">
        <x:f>weather_data!B271</x:f>
        <x:v>46033.64583333334</x:v>
      </x:c>
      <x:c r="B271" s="9">
        <x:f>INT(A271)</x:f>
        <x:v>46033</x:v>
      </x:c>
      <x:c r="C271" s="10" t="str">
        <x:f>TEXT(B271,"yyyy-mm")</x:f>
        <x:v>2026-01</x:v>
      </x:c>
      <x:c r="D271" s="10">
        <x:f>MONTH(B271)</x:f>
        <x:v>1</x:v>
      </x:c>
      <x:c r="E271" s="10" t="str">
        <x:f>TEXT(B271,"mmmm")</x:f>
        <x:v>January</x:v>
      </x:c>
      <x:c r="F271" s="10" t="str">
        <x:f>"Q"&amp;ROUNDUP(D271/3,0)</x:f>
        <x:v>Q1</x:v>
      </x:c>
      <x:c r="G271" s="10" t="str">
        <x:f>IF(OR(D271=12,D271&lt;=2),"Winter",IF(D271&lt;=5,"Spring",IF(D271&lt;=8,"Summer","Autumn")))</x:f>
        <x:v>Winter</x:v>
      </x:c>
      <x:c r="H271" s="11">
        <x:f>weather_data!E271-weather_data!D271</x:f>
        <x:v>0</x:v>
      </x:c>
      <x:c r="I271" s="10">
        <x:f>IF(OR(weather_data!H271="light rain",weather_data!H271="moderate rain",weather_data!H271="drizzle",weather_data!H271="thunderstorm"),1,0)</x:f>
        <x:v>0</x:v>
      </x:c>
      <x:c r="J271" s="10">
        <x:f>IF(weather_data!I271&gt;=25,1,0)</x:f>
        <x:v>0</x:v>
      </x:c>
    </x:row>
    <x:row r="272">
      <x:c r="A272" s="8">
        <x:f>weather_data!B272</x:f>
        <x:v>46034.39583333334</x:v>
      </x:c>
      <x:c r="B272" s="9">
        <x:f>INT(A272)</x:f>
        <x:v>46034</x:v>
      </x:c>
      <x:c r="C272" s="10" t="str">
        <x:f>TEXT(B272,"yyyy-mm")</x:f>
        <x:v>2026-01</x:v>
      </x:c>
      <x:c r="D272" s="10">
        <x:f>MONTH(B272)</x:f>
        <x:v>1</x:v>
      </x:c>
      <x:c r="E272" s="10" t="str">
        <x:f>TEXT(B272,"mmmm")</x:f>
        <x:v>January</x:v>
      </x:c>
      <x:c r="F272" s="10" t="str">
        <x:f>"Q"&amp;ROUNDUP(D272/3,0)</x:f>
        <x:v>Q1</x:v>
      </x:c>
      <x:c r="G272" s="10" t="str">
        <x:f>IF(OR(D272=12,D272&lt;=2),"Winter",IF(D272&lt;=5,"Spring",IF(D272&lt;=8,"Summer","Autumn")))</x:f>
        <x:v>Winter</x:v>
      </x:c>
      <x:c r="H272" s="11">
        <x:f>weather_data!E272-weather_data!D272</x:f>
        <x:v>-1.5999999999999996</x:v>
      </x:c>
      <x:c r="I272" s="10">
        <x:f>IF(OR(weather_data!H272="light rain",weather_data!H272="moderate rain",weather_data!H272="drizzle",weather_data!H272="thunderstorm"),1,0)</x:f>
        <x:v>0</x:v>
      </x:c>
      <x:c r="J272" s="10">
        <x:f>IF(weather_data!I272&gt;=25,1,0)</x:f>
        <x:v>0</x:v>
      </x:c>
    </x:row>
    <x:row r="273">
      <x:c r="A273" s="8">
        <x:f>weather_data!B273</x:f>
        <x:v>46035.65972222222</x:v>
      </x:c>
      <x:c r="B273" s="9">
        <x:f>INT(A273)</x:f>
        <x:v>46035</x:v>
      </x:c>
      <x:c r="C273" s="10" t="str">
        <x:f>TEXT(B273,"yyyy-mm")</x:f>
        <x:v>2026-01</x:v>
      </x:c>
      <x:c r="D273" s="10">
        <x:f>MONTH(B273)</x:f>
        <x:v>1</x:v>
      </x:c>
      <x:c r="E273" s="10" t="str">
        <x:f>TEXT(B273,"mmmm")</x:f>
        <x:v>January</x:v>
      </x:c>
      <x:c r="F273" s="10" t="str">
        <x:f>"Q"&amp;ROUNDUP(D273/3,0)</x:f>
        <x:v>Q1</x:v>
      </x:c>
      <x:c r="G273" s="10" t="str">
        <x:f>IF(OR(D273=12,D273&lt;=2),"Winter",IF(D273&lt;=5,"Spring",IF(D273&lt;=8,"Summer","Autumn")))</x:f>
        <x:v>Winter</x:v>
      </x:c>
      <x:c r="H273" s="11">
        <x:f>weather_data!E273-weather_data!D273</x:f>
        <x:v>-1</x:v>
      </x:c>
      <x:c r="I273" s="10">
        <x:f>IF(OR(weather_data!H273="light rain",weather_data!H273="moderate rain",weather_data!H273="drizzle",weather_data!H273="thunderstorm"),1,0)</x:f>
        <x:v>0</x:v>
      </x:c>
      <x:c r="J273" s="10">
        <x:f>IF(weather_data!I273&gt;=25,1,0)</x:f>
        <x:v>1</x:v>
      </x:c>
    </x:row>
    <x:row r="274">
      <x:c r="A274" s="8">
        <x:f>weather_data!B274</x:f>
        <x:v>46036.76388888889</x:v>
      </x:c>
      <x:c r="B274" s="9">
        <x:f>INT(A274)</x:f>
        <x:v>46036</x:v>
      </x:c>
      <x:c r="C274" s="10" t="str">
        <x:f>TEXT(B274,"yyyy-mm")</x:f>
        <x:v>2026-01</x:v>
      </x:c>
      <x:c r="D274" s="10">
        <x:f>MONTH(B274)</x:f>
        <x:v>1</x:v>
      </x:c>
      <x:c r="E274" s="10" t="str">
        <x:f>TEXT(B274,"mmmm")</x:f>
        <x:v>January</x:v>
      </x:c>
      <x:c r="F274" s="10" t="str">
        <x:f>"Q"&amp;ROUNDUP(D274/3,0)</x:f>
        <x:v>Q1</x:v>
      </x:c>
      <x:c r="G274" s="10" t="str">
        <x:f>IF(OR(D274=12,D274&lt;=2),"Winter",IF(D274&lt;=5,"Spring",IF(D274&lt;=8,"Summer","Autumn")))</x:f>
        <x:v>Winter</x:v>
      </x:c>
      <x:c r="H274" s="11">
        <x:f>weather_data!E274-weather_data!D274</x:f>
        <x:v>-0.7000000000000011</x:v>
      </x:c>
      <x:c r="I274" s="10">
        <x:f>IF(OR(weather_data!H274="light rain",weather_data!H274="moderate rain",weather_data!H274="drizzle",weather_data!H274="thunderstorm"),1,0)</x:f>
        <x:v>0</x:v>
      </x:c>
      <x:c r="J274" s="10">
        <x:f>IF(weather_data!I274&gt;=25,1,0)</x:f>
        <x:v>0</x:v>
      </x:c>
    </x:row>
    <x:row r="275">
      <x:c r="A275" s="8">
        <x:f>weather_data!B275</x:f>
        <x:v>46037.89583333334</x:v>
      </x:c>
      <x:c r="B275" s="9">
        <x:f>INT(A275)</x:f>
        <x:v>46037</x:v>
      </x:c>
      <x:c r="C275" s="10" t="str">
        <x:f>TEXT(B275,"yyyy-mm")</x:f>
        <x:v>2026-01</x:v>
      </x:c>
      <x:c r="D275" s="10">
        <x:f>MONTH(B275)</x:f>
        <x:v>1</x:v>
      </x:c>
      <x:c r="E275" s="10" t="str">
        <x:f>TEXT(B275,"mmmm")</x:f>
        <x:v>January</x:v>
      </x:c>
      <x:c r="F275" s="10" t="str">
        <x:f>"Q"&amp;ROUNDUP(D275/3,0)</x:f>
        <x:v>Q1</x:v>
      </x:c>
      <x:c r="G275" s="10" t="str">
        <x:f>IF(OR(D275=12,D275&lt;=2),"Winter",IF(D275&lt;=5,"Spring",IF(D275&lt;=8,"Summer","Autumn")))</x:f>
        <x:v>Winter</x:v>
      </x:c>
      <x:c r="H275" s="11">
        <x:f>weather_data!E275-weather_data!D275</x:f>
        <x:v>0.09999999999999964</x:v>
      </x:c>
      <x:c r="I275" s="10">
        <x:f>IF(OR(weather_data!H275="light rain",weather_data!H275="moderate rain",weather_data!H275="drizzle",weather_data!H275="thunderstorm"),1,0)</x:f>
        <x:v>0</x:v>
      </x:c>
      <x:c r="J275" s="10">
        <x:f>IF(weather_data!I275&gt;=25,1,0)</x:f>
        <x:v>0</x:v>
      </x:c>
    </x:row>
    <x:row r="276">
      <x:c r="A276" s="8">
        <x:f>weather_data!B276</x:f>
        <x:v>46038.36111111111</x:v>
      </x:c>
      <x:c r="B276" s="9">
        <x:f>INT(A276)</x:f>
        <x:v>46038</x:v>
      </x:c>
      <x:c r="C276" s="10" t="str">
        <x:f>TEXT(B276,"yyyy-mm")</x:f>
        <x:v>2026-01</x:v>
      </x:c>
      <x:c r="D276" s="10">
        <x:f>MONTH(B276)</x:f>
        <x:v>1</x:v>
      </x:c>
      <x:c r="E276" s="10" t="str">
        <x:f>TEXT(B276,"mmmm")</x:f>
        <x:v>January</x:v>
      </x:c>
      <x:c r="F276" s="10" t="str">
        <x:f>"Q"&amp;ROUNDUP(D276/3,0)</x:f>
        <x:v>Q1</x:v>
      </x:c>
      <x:c r="G276" s="10" t="str">
        <x:f>IF(OR(D276=12,D276&lt;=2),"Winter",IF(D276&lt;=5,"Spring",IF(D276&lt;=8,"Summer","Autumn")))</x:f>
        <x:v>Winter</x:v>
      </x:c>
      <x:c r="H276" s="11">
        <x:f>weather_data!E276-weather_data!D276</x:f>
        <x:v>-2</x:v>
      </x:c>
      <x:c r="I276" s="10">
        <x:f>IF(OR(weather_data!H276="light rain",weather_data!H276="moderate rain",weather_data!H276="drizzle",weather_data!H276="thunderstorm"),1,0)</x:f>
        <x:v>1</x:v>
      </x:c>
      <x:c r="J276" s="10">
        <x:f>IF(weather_data!I276&gt;=25,1,0)</x:f>
        <x:v>0</x:v>
      </x:c>
    </x:row>
    <x:row r="277">
      <x:c r="A277" s="8">
        <x:f>weather_data!B277</x:f>
        <x:v>46039.3125</x:v>
      </x:c>
      <x:c r="B277" s="9">
        <x:f>INT(A277)</x:f>
        <x:v>46039</x:v>
      </x:c>
      <x:c r="C277" s="10" t="str">
        <x:f>TEXT(B277,"yyyy-mm")</x:f>
        <x:v>2026-01</x:v>
      </x:c>
      <x:c r="D277" s="10">
        <x:f>MONTH(B277)</x:f>
        <x:v>1</x:v>
      </x:c>
      <x:c r="E277" s="10" t="str">
        <x:f>TEXT(B277,"mmmm")</x:f>
        <x:v>January</x:v>
      </x:c>
      <x:c r="F277" s="10" t="str">
        <x:f>"Q"&amp;ROUNDUP(D277/3,0)</x:f>
        <x:v>Q1</x:v>
      </x:c>
      <x:c r="G277" s="10" t="str">
        <x:f>IF(OR(D277=12,D277&lt;=2),"Winter",IF(D277&lt;=5,"Spring",IF(D277&lt;=8,"Summer","Autumn")))</x:f>
        <x:v>Winter</x:v>
      </x:c>
      <x:c r="H277" s="11">
        <x:f>weather_data!E277-weather_data!D277</x:f>
        <x:v>-1.299999999999999</x:v>
      </x:c>
      <x:c r="I277" s="10">
        <x:f>IF(OR(weather_data!H277="light rain",weather_data!H277="moderate rain",weather_data!H277="drizzle",weather_data!H277="thunderstorm"),1,0)</x:f>
        <x:v>1</x:v>
      </x:c>
      <x:c r="J277" s="10">
        <x:f>IF(weather_data!I277&gt;=25,1,0)</x:f>
        <x:v>0</x:v>
      </x:c>
    </x:row>
    <x:row r="278">
      <x:c r="A278" s="8">
        <x:f>weather_data!B278</x:f>
        <x:v>46040.69444444445</x:v>
      </x:c>
      <x:c r="B278" s="9">
        <x:f>INT(A278)</x:f>
        <x:v>46040</x:v>
      </x:c>
      <x:c r="C278" s="10" t="str">
        <x:f>TEXT(B278,"yyyy-mm")</x:f>
        <x:v>2026-01</x:v>
      </x:c>
      <x:c r="D278" s="10">
        <x:f>MONTH(B278)</x:f>
        <x:v>1</x:v>
      </x:c>
      <x:c r="E278" s="10" t="str">
        <x:f>TEXT(B278,"mmmm")</x:f>
        <x:v>January</x:v>
      </x:c>
      <x:c r="F278" s="10" t="str">
        <x:f>"Q"&amp;ROUNDUP(D278/3,0)</x:f>
        <x:v>Q1</x:v>
      </x:c>
      <x:c r="G278" s="10" t="str">
        <x:f>IF(OR(D278=12,D278&lt;=2),"Winter",IF(D278&lt;=5,"Spring",IF(D278&lt;=8,"Summer","Autumn")))</x:f>
        <x:v>Winter</x:v>
      </x:c>
      <x:c r="H278" s="11">
        <x:f>weather_data!E278-weather_data!D278</x:f>
        <x:v>-0.1999999999999993</x:v>
      </x:c>
      <x:c r="I278" s="10">
        <x:f>IF(OR(weather_data!H278="light rain",weather_data!H278="moderate rain",weather_data!H278="drizzle",weather_data!H278="thunderstorm"),1,0)</x:f>
        <x:v>0</x:v>
      </x:c>
      <x:c r="J278" s="10">
        <x:f>IF(weather_data!I278&gt;=25,1,0)</x:f>
        <x:v>0</x:v>
      </x:c>
    </x:row>
    <x:row r="279">
      <x:c r="A279" s="8">
        <x:f>weather_data!B279</x:f>
        <x:v>46041.58333333334</x:v>
      </x:c>
      <x:c r="B279" s="9">
        <x:f>INT(A279)</x:f>
        <x:v>46041</x:v>
      </x:c>
      <x:c r="C279" s="10" t="str">
        <x:f>TEXT(B279,"yyyy-mm")</x:f>
        <x:v>2026-01</x:v>
      </x:c>
      <x:c r="D279" s="10">
        <x:f>MONTH(B279)</x:f>
        <x:v>1</x:v>
      </x:c>
      <x:c r="E279" s="10" t="str">
        <x:f>TEXT(B279,"mmmm")</x:f>
        <x:v>January</x:v>
      </x:c>
      <x:c r="F279" s="10" t="str">
        <x:f>"Q"&amp;ROUNDUP(D279/3,0)</x:f>
        <x:v>Q1</x:v>
      </x:c>
      <x:c r="G279" s="10" t="str">
        <x:f>IF(OR(D279=12,D279&lt;=2),"Winter",IF(D279&lt;=5,"Spring",IF(D279&lt;=8,"Summer","Autumn")))</x:f>
        <x:v>Winter</x:v>
      </x:c>
      <x:c r="H279" s="11">
        <x:f>weather_data!E279-weather_data!D279</x:f>
        <x:v>-0.8000000000000007</x:v>
      </x:c>
      <x:c r="I279" s="10">
        <x:f>IF(OR(weather_data!H279="light rain",weather_data!H279="moderate rain",weather_data!H279="drizzle",weather_data!H279="thunderstorm"),1,0)</x:f>
        <x:v>1</x:v>
      </x:c>
      <x:c r="J279" s="10">
        <x:f>IF(weather_data!I279&gt;=25,1,0)</x:f>
        <x:v>1</x:v>
      </x:c>
    </x:row>
    <x:row r="280">
      <x:c r="A280" s="8">
        <x:f>weather_data!B280</x:f>
        <x:v>46042.34027777778</x:v>
      </x:c>
      <x:c r="B280" s="9">
        <x:f>INT(A280)</x:f>
        <x:v>46042</x:v>
      </x:c>
      <x:c r="C280" s="10" t="str">
        <x:f>TEXT(B280,"yyyy-mm")</x:f>
        <x:v>2026-01</x:v>
      </x:c>
      <x:c r="D280" s="10">
        <x:f>MONTH(B280)</x:f>
        <x:v>1</x:v>
      </x:c>
      <x:c r="E280" s="10" t="str">
        <x:f>TEXT(B280,"mmmm")</x:f>
        <x:v>January</x:v>
      </x:c>
      <x:c r="F280" s="10" t="str">
        <x:f>"Q"&amp;ROUNDUP(D280/3,0)</x:f>
        <x:v>Q1</x:v>
      </x:c>
      <x:c r="G280" s="10" t="str">
        <x:f>IF(OR(D280=12,D280&lt;=2),"Winter",IF(D280&lt;=5,"Spring",IF(D280&lt;=8,"Summer","Autumn")))</x:f>
        <x:v>Winter</x:v>
      </x:c>
      <x:c r="H280" s="11">
        <x:f>weather_data!E280-weather_data!D280</x:f>
        <x:v>1</x:v>
      </x:c>
      <x:c r="I280" s="10">
        <x:f>IF(OR(weather_data!H280="light rain",weather_data!H280="moderate rain",weather_data!H280="drizzle",weather_data!H280="thunderstorm"),1,0)</x:f>
        <x:v>0</x:v>
      </x:c>
      <x:c r="J280" s="10">
        <x:f>IF(weather_data!I280&gt;=25,1,0)</x:f>
        <x:v>1</x:v>
      </x:c>
    </x:row>
    <x:row r="281">
      <x:c r="A281" s="8">
        <x:f>weather_data!B281</x:f>
        <x:v>46043.28472222222</x:v>
      </x:c>
      <x:c r="B281" s="9">
        <x:f>INT(A281)</x:f>
        <x:v>46043</x:v>
      </x:c>
      <x:c r="C281" s="10" t="str">
        <x:f>TEXT(B281,"yyyy-mm")</x:f>
        <x:v>2026-01</x:v>
      </x:c>
      <x:c r="D281" s="10">
        <x:f>MONTH(B281)</x:f>
        <x:v>1</x:v>
      </x:c>
      <x:c r="E281" s="10" t="str">
        <x:f>TEXT(B281,"mmmm")</x:f>
        <x:v>January</x:v>
      </x:c>
      <x:c r="F281" s="10" t="str">
        <x:f>"Q"&amp;ROUNDUP(D281/3,0)</x:f>
        <x:v>Q1</x:v>
      </x:c>
      <x:c r="G281" s="10" t="str">
        <x:f>IF(OR(D281=12,D281&lt;=2),"Winter",IF(D281&lt;=5,"Spring",IF(D281&lt;=8,"Summer","Autumn")))</x:f>
        <x:v>Winter</x:v>
      </x:c>
      <x:c r="H281" s="11">
        <x:f>weather_data!E281-weather_data!D281</x:f>
        <x:v>-0.40000000000000036</x:v>
      </x:c>
      <x:c r="I281" s="10">
        <x:f>IF(OR(weather_data!H281="light rain",weather_data!H281="moderate rain",weather_data!H281="drizzle",weather_data!H281="thunderstorm"),1,0)</x:f>
        <x:v>1</x:v>
      </x:c>
      <x:c r="J281" s="10">
        <x:f>IF(weather_data!I281&gt;=25,1,0)</x:f>
        <x:v>0</x:v>
      </x:c>
    </x:row>
    <x:row r="282">
      <x:c r="A282" s="8">
        <x:f>weather_data!B282</x:f>
        <x:v>46044.61111111111</x:v>
      </x:c>
      <x:c r="B282" s="9">
        <x:f>INT(A282)</x:f>
        <x:v>46044</x:v>
      </x:c>
      <x:c r="C282" s="10" t="str">
        <x:f>TEXT(B282,"yyyy-mm")</x:f>
        <x:v>2026-01</x:v>
      </x:c>
      <x:c r="D282" s="10">
        <x:f>MONTH(B282)</x:f>
        <x:v>1</x:v>
      </x:c>
      <x:c r="E282" s="10" t="str">
        <x:f>TEXT(B282,"mmmm")</x:f>
        <x:v>January</x:v>
      </x:c>
      <x:c r="F282" s="10" t="str">
        <x:f>"Q"&amp;ROUNDUP(D282/3,0)</x:f>
        <x:v>Q1</x:v>
      </x:c>
      <x:c r="G282" s="10" t="str">
        <x:f>IF(OR(D282=12,D282&lt;=2),"Winter",IF(D282&lt;=5,"Spring",IF(D282&lt;=8,"Summer","Autumn")))</x:f>
        <x:v>Winter</x:v>
      </x:c>
      <x:c r="H282" s="11">
        <x:f>weather_data!E282-weather_data!D282</x:f>
        <x:v>0.09999999999999964</x:v>
      </x:c>
      <x:c r="I282" s="10">
        <x:f>IF(OR(weather_data!H282="light rain",weather_data!H282="moderate rain",weather_data!H282="drizzle",weather_data!H282="thunderstorm"),1,0)</x:f>
        <x:v>0</x:v>
      </x:c>
      <x:c r="J282" s="10">
        <x:f>IF(weather_data!I282&gt;=25,1,0)</x:f>
        <x:v>0</x:v>
      </x:c>
    </x:row>
    <x:row r="283">
      <x:c r="A283" s="8">
        <x:f>weather_data!B283</x:f>
        <x:v>46045.29861111111</x:v>
      </x:c>
      <x:c r="B283" s="9">
        <x:f>INT(A283)</x:f>
        <x:v>46045</x:v>
      </x:c>
      <x:c r="C283" s="10" t="str">
        <x:f>TEXT(B283,"yyyy-mm")</x:f>
        <x:v>2026-01</x:v>
      </x:c>
      <x:c r="D283" s="10">
        <x:f>MONTH(B283)</x:f>
        <x:v>1</x:v>
      </x:c>
      <x:c r="E283" s="10" t="str">
        <x:f>TEXT(B283,"mmmm")</x:f>
        <x:v>January</x:v>
      </x:c>
      <x:c r="F283" s="10" t="str">
        <x:f>"Q"&amp;ROUNDUP(D283/3,0)</x:f>
        <x:v>Q1</x:v>
      </x:c>
      <x:c r="G283" s="10" t="str">
        <x:f>IF(OR(D283=12,D283&lt;=2),"Winter",IF(D283&lt;=5,"Spring",IF(D283&lt;=8,"Summer","Autumn")))</x:f>
        <x:v>Winter</x:v>
      </x:c>
      <x:c r="H283" s="11">
        <x:f>weather_data!E283-weather_data!D283</x:f>
        <x:v>-2.4000000000000004</x:v>
      </x:c>
      <x:c r="I283" s="10">
        <x:f>IF(OR(weather_data!H283="light rain",weather_data!H283="moderate rain",weather_data!H283="drizzle",weather_data!H283="thunderstorm"),1,0)</x:f>
        <x:v>1</x:v>
      </x:c>
      <x:c r="J283" s="10">
        <x:f>IF(weather_data!I283&gt;=25,1,0)</x:f>
        <x:v>1</x:v>
      </x:c>
    </x:row>
    <x:row r="284">
      <x:c r="A284" s="8">
        <x:f>weather_data!B284</x:f>
        <x:v>46046.90277777778</x:v>
      </x:c>
      <x:c r="B284" s="9">
        <x:f>INT(A284)</x:f>
        <x:v>46046</x:v>
      </x:c>
      <x:c r="C284" s="10" t="str">
        <x:f>TEXT(B284,"yyyy-mm")</x:f>
        <x:v>2026-01</x:v>
      </x:c>
      <x:c r="D284" s="10">
        <x:f>MONTH(B284)</x:f>
        <x:v>1</x:v>
      </x:c>
      <x:c r="E284" s="10" t="str">
        <x:f>TEXT(B284,"mmmm")</x:f>
        <x:v>January</x:v>
      </x:c>
      <x:c r="F284" s="10" t="str">
        <x:f>"Q"&amp;ROUNDUP(D284/3,0)</x:f>
        <x:v>Q1</x:v>
      </x:c>
      <x:c r="G284" s="10" t="str">
        <x:f>IF(OR(D284=12,D284&lt;=2),"Winter",IF(D284&lt;=5,"Spring",IF(D284&lt;=8,"Summer","Autumn")))</x:f>
        <x:v>Winter</x:v>
      </x:c>
      <x:c r="H284" s="11">
        <x:f>weather_data!E284-weather_data!D284</x:f>
        <x:v>0.29999999999999893</x:v>
      </x:c>
      <x:c r="I284" s="10">
        <x:f>IF(OR(weather_data!H284="light rain",weather_data!H284="moderate rain",weather_data!H284="drizzle",weather_data!H284="thunderstorm"),1,0)</x:f>
        <x:v>0</x:v>
      </x:c>
      <x:c r="J284" s="10">
        <x:f>IF(weather_data!I284&gt;=25,1,0)</x:f>
        <x:v>0</x:v>
      </x:c>
    </x:row>
    <x:row r="285">
      <x:c r="A285" s="8">
        <x:f>weather_data!B285</x:f>
        <x:v>46047.84722222222</x:v>
      </x:c>
      <x:c r="B285" s="9">
        <x:f>INT(A285)</x:f>
        <x:v>46047</x:v>
      </x:c>
      <x:c r="C285" s="10" t="str">
        <x:f>TEXT(B285,"yyyy-mm")</x:f>
        <x:v>2026-01</x:v>
      </x:c>
      <x:c r="D285" s="10">
        <x:f>MONTH(B285)</x:f>
        <x:v>1</x:v>
      </x:c>
      <x:c r="E285" s="10" t="str">
        <x:f>TEXT(B285,"mmmm")</x:f>
        <x:v>January</x:v>
      </x:c>
      <x:c r="F285" s="10" t="str">
        <x:f>"Q"&amp;ROUNDUP(D285/3,0)</x:f>
        <x:v>Q1</x:v>
      </x:c>
      <x:c r="G285" s="10" t="str">
        <x:f>IF(OR(D285=12,D285&lt;=2),"Winter",IF(D285&lt;=5,"Spring",IF(D285&lt;=8,"Summer","Autumn")))</x:f>
        <x:v>Winter</x:v>
      </x:c>
      <x:c r="H285" s="11">
        <x:f>weather_data!E285-weather_data!D285</x:f>
        <x:v>-0.6999999999999993</x:v>
      </x:c>
      <x:c r="I285" s="10">
        <x:f>IF(OR(weather_data!H285="light rain",weather_data!H285="moderate rain",weather_data!H285="drizzle",weather_data!H285="thunderstorm"),1,0)</x:f>
        <x:v>0</x:v>
      </x:c>
      <x:c r="J285" s="10">
        <x:f>IF(weather_data!I285&gt;=25,1,0)</x:f>
        <x:v>0</x:v>
      </x:c>
    </x:row>
    <x:row r="286">
      <x:c r="A286" s="8">
        <x:f>weather_data!B286</x:f>
        <x:v>46048.48611111111</x:v>
      </x:c>
      <x:c r="B286" s="9">
        <x:f>INT(A286)</x:f>
        <x:v>46048</x:v>
      </x:c>
      <x:c r="C286" s="10" t="str">
        <x:f>TEXT(B286,"yyyy-mm")</x:f>
        <x:v>2026-01</x:v>
      </x:c>
      <x:c r="D286" s="10">
        <x:f>MONTH(B286)</x:f>
        <x:v>1</x:v>
      </x:c>
      <x:c r="E286" s="10" t="str">
        <x:f>TEXT(B286,"mmmm")</x:f>
        <x:v>January</x:v>
      </x:c>
      <x:c r="F286" s="10" t="str">
        <x:f>"Q"&amp;ROUNDUP(D286/3,0)</x:f>
        <x:v>Q1</x:v>
      </x:c>
      <x:c r="G286" s="10" t="str">
        <x:f>IF(OR(D286=12,D286&lt;=2),"Winter",IF(D286&lt;=5,"Spring",IF(D286&lt;=8,"Summer","Autumn")))</x:f>
        <x:v>Winter</x:v>
      </x:c>
      <x:c r="H286" s="11">
        <x:f>weather_data!E286-weather_data!D286</x:f>
        <x:v>-1.9000000000000004</x:v>
      </x:c>
      <x:c r="I286" s="10">
        <x:f>IF(OR(weather_data!H286="light rain",weather_data!H286="moderate rain",weather_data!H286="drizzle",weather_data!H286="thunderstorm"),1,0)</x:f>
        <x:v>0</x:v>
      </x:c>
      <x:c r="J286" s="10">
        <x:f>IF(weather_data!I286&gt;=25,1,0)</x:f>
        <x:v>0</x:v>
      </x:c>
    </x:row>
    <x:row r="287">
      <x:c r="A287" s="8">
        <x:f>weather_data!B287</x:f>
        <x:v>46049.82638888889</x:v>
      </x:c>
      <x:c r="B287" s="9">
        <x:f>INT(A287)</x:f>
        <x:v>46049</x:v>
      </x:c>
      <x:c r="C287" s="10" t="str">
        <x:f>TEXT(B287,"yyyy-mm")</x:f>
        <x:v>2026-01</x:v>
      </x:c>
      <x:c r="D287" s="10">
        <x:f>MONTH(B287)</x:f>
        <x:v>1</x:v>
      </x:c>
      <x:c r="E287" s="10" t="str">
        <x:f>TEXT(B287,"mmmm")</x:f>
        <x:v>January</x:v>
      </x:c>
      <x:c r="F287" s="10" t="str">
        <x:f>"Q"&amp;ROUNDUP(D287/3,0)</x:f>
        <x:v>Q1</x:v>
      </x:c>
      <x:c r="G287" s="10" t="str">
        <x:f>IF(OR(D287=12,D287&lt;=2),"Winter",IF(D287&lt;=5,"Spring",IF(D287&lt;=8,"Summer","Autumn")))</x:f>
        <x:v>Winter</x:v>
      </x:c>
      <x:c r="H287" s="11">
        <x:f>weather_data!E287-weather_data!D287</x:f>
        <x:v>1.0999999999999996</x:v>
      </x:c>
      <x:c r="I287" s="10">
        <x:f>IF(OR(weather_data!H287="light rain",weather_data!H287="moderate rain",weather_data!H287="drizzle",weather_data!H287="thunderstorm"),1,0)</x:f>
        <x:v>0</x:v>
      </x:c>
      <x:c r="J287" s="10">
        <x:f>IF(weather_data!I287&gt;=25,1,0)</x:f>
        <x:v>0</x:v>
      </x:c>
    </x:row>
    <x:row r="288">
      <x:c r="A288" s="8">
        <x:f>weather_data!B288</x:f>
        <x:v>46050.875</x:v>
      </x:c>
      <x:c r="B288" s="9">
        <x:f>INT(A288)</x:f>
        <x:v>46050</x:v>
      </x:c>
      <x:c r="C288" s="10" t="str">
        <x:f>TEXT(B288,"yyyy-mm")</x:f>
        <x:v>2026-01</x:v>
      </x:c>
      <x:c r="D288" s="10">
        <x:f>MONTH(B288)</x:f>
        <x:v>1</x:v>
      </x:c>
      <x:c r="E288" s="10" t="str">
        <x:f>TEXT(B288,"mmmm")</x:f>
        <x:v>January</x:v>
      </x:c>
      <x:c r="F288" s="10" t="str">
        <x:f>"Q"&amp;ROUNDUP(D288/3,0)</x:f>
        <x:v>Q1</x:v>
      </x:c>
      <x:c r="G288" s="10" t="str">
        <x:f>IF(OR(D288=12,D288&lt;=2),"Winter",IF(D288&lt;=5,"Spring",IF(D288&lt;=8,"Summer","Autumn")))</x:f>
        <x:v>Winter</x:v>
      </x:c>
      <x:c r="H288" s="11">
        <x:f>weather_data!E288-weather_data!D288</x:f>
        <x:v>0.1999999999999993</x:v>
      </x:c>
      <x:c r="I288" s="10">
        <x:f>IF(OR(weather_data!H288="light rain",weather_data!H288="moderate rain",weather_data!H288="drizzle",weather_data!H288="thunderstorm"),1,0)</x:f>
        <x:v>0</x:v>
      </x:c>
      <x:c r="J288" s="10">
        <x:f>IF(weather_data!I288&gt;=25,1,0)</x:f>
        <x:v>0</x:v>
      </x:c>
    </x:row>
    <x:row r="289">
      <x:c r="A289" s="8">
        <x:f>weather_data!B289</x:f>
        <x:v>46051.88888888889</x:v>
      </x:c>
      <x:c r="B289" s="9">
        <x:f>INT(A289)</x:f>
        <x:v>46051</x:v>
      </x:c>
      <x:c r="C289" s="10" t="str">
        <x:f>TEXT(B289,"yyyy-mm")</x:f>
        <x:v>2026-01</x:v>
      </x:c>
      <x:c r="D289" s="10">
        <x:f>MONTH(B289)</x:f>
        <x:v>1</x:v>
      </x:c>
      <x:c r="E289" s="10" t="str">
        <x:f>TEXT(B289,"mmmm")</x:f>
        <x:v>January</x:v>
      </x:c>
      <x:c r="F289" s="10" t="str">
        <x:f>"Q"&amp;ROUNDUP(D289/3,0)</x:f>
        <x:v>Q1</x:v>
      </x:c>
      <x:c r="G289" s="10" t="str">
        <x:f>IF(OR(D289=12,D289&lt;=2),"Winter",IF(D289&lt;=5,"Spring",IF(D289&lt;=8,"Summer","Autumn")))</x:f>
        <x:v>Winter</x:v>
      </x:c>
      <x:c r="H289" s="11">
        <x:f>weather_data!E289-weather_data!D289</x:f>
        <x:v>0.5999999999999996</x:v>
      </x:c>
      <x:c r="I289" s="10">
        <x:f>IF(OR(weather_data!H289="light rain",weather_data!H289="moderate rain",weather_data!H289="drizzle",weather_data!H289="thunderstorm"),1,0)</x:f>
        <x:v>0</x:v>
      </x:c>
      <x:c r="J289" s="10">
        <x:f>IF(weather_data!I289&gt;=25,1,0)</x:f>
        <x:v>0</x:v>
      </x:c>
    </x:row>
    <x:row r="290">
      <x:c r="A290" s="8">
        <x:f>weather_data!B290</x:f>
        <x:v>46052.80555555555</x:v>
      </x:c>
      <x:c r="B290" s="9">
        <x:f>INT(A290)</x:f>
        <x:v>46052</x:v>
      </x:c>
      <x:c r="C290" s="10" t="str">
        <x:f>TEXT(B290,"yyyy-mm")</x:f>
        <x:v>2026-01</x:v>
      </x:c>
      <x:c r="D290" s="10">
        <x:f>MONTH(B290)</x:f>
        <x:v>1</x:v>
      </x:c>
      <x:c r="E290" s="10" t="str">
        <x:f>TEXT(B290,"mmmm")</x:f>
        <x:v>January</x:v>
      </x:c>
      <x:c r="F290" s="10" t="str">
        <x:f>"Q"&amp;ROUNDUP(D290/3,0)</x:f>
        <x:v>Q1</x:v>
      </x:c>
      <x:c r="G290" s="10" t="str">
        <x:f>IF(OR(D290=12,D290&lt;=2),"Winter",IF(D290&lt;=5,"Spring",IF(D290&lt;=8,"Summer","Autumn")))</x:f>
        <x:v>Winter</x:v>
      </x:c>
      <x:c r="H290" s="11">
        <x:f>weather_data!E290-weather_data!D290</x:f>
        <x:v>-0.5999999999999996</x:v>
      </x:c>
      <x:c r="I290" s="10">
        <x:f>IF(OR(weather_data!H290="light rain",weather_data!H290="moderate rain",weather_data!H290="drizzle",weather_data!H290="thunderstorm"),1,0)</x:f>
        <x:v>0</x:v>
      </x:c>
      <x:c r="J290" s="10">
        <x:f>IF(weather_data!I290&gt;=25,1,0)</x:f>
        <x:v>0</x:v>
      </x:c>
    </x:row>
    <x:row r="291">
      <x:c r="A291" s="8">
        <x:f>weather_data!B291</x:f>
        <x:v>46053.70138888889</x:v>
      </x:c>
      <x:c r="B291" s="9">
        <x:f>INT(A291)</x:f>
        <x:v>46053</x:v>
      </x:c>
      <x:c r="C291" s="10" t="str">
        <x:f>TEXT(B291,"yyyy-mm")</x:f>
        <x:v>2026-01</x:v>
      </x:c>
      <x:c r="D291" s="10">
        <x:f>MONTH(B291)</x:f>
        <x:v>1</x:v>
      </x:c>
      <x:c r="E291" s="10" t="str">
        <x:f>TEXT(B291,"mmmm")</x:f>
        <x:v>January</x:v>
      </x:c>
      <x:c r="F291" s="10" t="str">
        <x:f>"Q"&amp;ROUNDUP(D291/3,0)</x:f>
        <x:v>Q1</x:v>
      </x:c>
      <x:c r="G291" s="10" t="str">
        <x:f>IF(OR(D291=12,D291&lt;=2),"Winter",IF(D291&lt;=5,"Spring",IF(D291&lt;=8,"Summer","Autumn")))</x:f>
        <x:v>Winter</x:v>
      </x:c>
      <x:c r="H291" s="11">
        <x:f>weather_data!E291-weather_data!D291</x:f>
        <x:v>-1.8000000000000007</x:v>
      </x:c>
      <x:c r="I291" s="10">
        <x:f>IF(OR(weather_data!H291="light rain",weather_data!H291="moderate rain",weather_data!H291="drizzle",weather_data!H291="thunderstorm"),1,0)</x:f>
        <x:v>0</x:v>
      </x:c>
      <x:c r="J291" s="10">
        <x:f>IF(weather_data!I291&gt;=25,1,0)</x:f>
        <x:v>0</x:v>
      </x:c>
    </x:row>
    <x:row r="292">
      <x:c r="A292" s="8">
        <x:f>weather_data!B292</x:f>
        <x:v>46054.38194444445</x:v>
      </x:c>
      <x:c r="B292" s="9">
        <x:f>INT(A292)</x:f>
        <x:v>46054</x:v>
      </x:c>
      <x:c r="C292" s="10" t="str">
        <x:f>TEXT(B292,"yyyy-mm")</x:f>
        <x:v>2026-02</x:v>
      </x:c>
      <x:c r="D292" s="10">
        <x:f>MONTH(B292)</x:f>
        <x:v>2</x:v>
      </x:c>
      <x:c r="E292" s="10" t="str">
        <x:f>TEXT(B292,"mmmm")</x:f>
        <x:v>February</x:v>
      </x:c>
      <x:c r="F292" s="10" t="str">
        <x:f>"Q"&amp;ROUNDUP(D292/3,0)</x:f>
        <x:v>Q1</x:v>
      </x:c>
      <x:c r="G292" s="10" t="str">
        <x:f>IF(OR(D292=12,D292&lt;=2),"Winter",IF(D292&lt;=5,"Spring",IF(D292&lt;=8,"Summer","Autumn")))</x:f>
        <x:v>Winter</x:v>
      </x:c>
      <x:c r="H292" s="11">
        <x:f>weather_data!E292-weather_data!D292</x:f>
        <x:v>-1</x:v>
      </x:c>
      <x:c r="I292" s="10">
        <x:f>IF(OR(weather_data!H292="light rain",weather_data!H292="moderate rain",weather_data!H292="drizzle",weather_data!H292="thunderstorm"),1,0)</x:f>
        <x:v>0</x:v>
      </x:c>
      <x:c r="J292" s="10">
        <x:f>IF(weather_data!I292&gt;=25,1,0)</x:f>
        <x:v>0</x:v>
      </x:c>
    </x:row>
    <x:row r="293">
      <x:c r="A293" s="8">
        <x:f>weather_data!B293</x:f>
        <x:v>46055.6875</x:v>
      </x:c>
      <x:c r="B293" s="9">
        <x:f>INT(A293)</x:f>
        <x:v>46055</x:v>
      </x:c>
      <x:c r="C293" s="10" t="str">
        <x:f>TEXT(B293,"yyyy-mm")</x:f>
        <x:v>2026-02</x:v>
      </x:c>
      <x:c r="D293" s="10">
        <x:f>MONTH(B293)</x:f>
        <x:v>2</x:v>
      </x:c>
      <x:c r="E293" s="10" t="str">
        <x:f>TEXT(B293,"mmmm")</x:f>
        <x:v>February</x:v>
      </x:c>
      <x:c r="F293" s="10" t="str">
        <x:f>"Q"&amp;ROUNDUP(D293/3,0)</x:f>
        <x:v>Q1</x:v>
      </x:c>
      <x:c r="G293" s="10" t="str">
        <x:f>IF(OR(D293=12,D293&lt;=2),"Winter",IF(D293&lt;=5,"Spring",IF(D293&lt;=8,"Summer","Autumn")))</x:f>
        <x:v>Winter</x:v>
      </x:c>
      <x:c r="H293" s="11">
        <x:f>weather_data!E293-weather_data!D293</x:f>
        <x:v>0.8000000000000007</x:v>
      </x:c>
      <x:c r="I293" s="10">
        <x:f>IF(OR(weather_data!H293="light rain",weather_data!H293="moderate rain",weather_data!H293="drizzle",weather_data!H293="thunderstorm"),1,0)</x:f>
        <x:v>0</x:v>
      </x:c>
      <x:c r="J293" s="10">
        <x:f>IF(weather_data!I293&gt;=25,1,0)</x:f>
        <x:v>0</x:v>
      </x:c>
    </x:row>
    <x:row r="294">
      <x:c r="A294" s="8">
        <x:f>weather_data!B294</x:f>
        <x:v>46056.88888888889</x:v>
      </x:c>
      <x:c r="B294" s="9">
        <x:f>INT(A294)</x:f>
        <x:v>46056</x:v>
      </x:c>
      <x:c r="C294" s="10" t="str">
        <x:f>TEXT(B294,"yyyy-mm")</x:f>
        <x:v>2026-02</x:v>
      </x:c>
      <x:c r="D294" s="10">
        <x:f>MONTH(B294)</x:f>
        <x:v>2</x:v>
      </x:c>
      <x:c r="E294" s="10" t="str">
        <x:f>TEXT(B294,"mmmm")</x:f>
        <x:v>February</x:v>
      </x:c>
      <x:c r="F294" s="10" t="str">
        <x:f>"Q"&amp;ROUNDUP(D294/3,0)</x:f>
        <x:v>Q1</x:v>
      </x:c>
      <x:c r="G294" s="10" t="str">
        <x:f>IF(OR(D294=12,D294&lt;=2),"Winter",IF(D294&lt;=5,"Spring",IF(D294&lt;=8,"Summer","Autumn")))</x:f>
        <x:v>Winter</x:v>
      </x:c>
      <x:c r="H294" s="11">
        <x:f>weather_data!E294-weather_data!D294</x:f>
        <x:v>-0.40000000000000036</x:v>
      </x:c>
      <x:c r="I294" s="10">
        <x:f>IF(OR(weather_data!H294="light rain",weather_data!H294="moderate rain",weather_data!H294="drizzle",weather_data!H294="thunderstorm"),1,0)</x:f>
        <x:v>0</x:v>
      </x:c>
      <x:c r="J294" s="10">
        <x:f>IF(weather_data!I294&gt;=25,1,0)</x:f>
        <x:v>0</x:v>
      </x:c>
    </x:row>
    <x:row r="295">
      <x:c r="A295" s="8">
        <x:f>weather_data!B295</x:f>
        <x:v>46057.77777777778</x:v>
      </x:c>
      <x:c r="B295" s="9">
        <x:f>INT(A295)</x:f>
        <x:v>46057</x:v>
      </x:c>
      <x:c r="C295" s="10" t="str">
        <x:f>TEXT(B295,"yyyy-mm")</x:f>
        <x:v>2026-02</x:v>
      </x:c>
      <x:c r="D295" s="10">
        <x:f>MONTH(B295)</x:f>
        <x:v>2</x:v>
      </x:c>
      <x:c r="E295" s="10" t="str">
        <x:f>TEXT(B295,"mmmm")</x:f>
        <x:v>February</x:v>
      </x:c>
      <x:c r="F295" s="10" t="str">
        <x:f>"Q"&amp;ROUNDUP(D295/3,0)</x:f>
        <x:v>Q1</x:v>
      </x:c>
      <x:c r="G295" s="10" t="str">
        <x:f>IF(OR(D295=12,D295&lt;=2),"Winter",IF(D295&lt;=5,"Spring",IF(D295&lt;=8,"Summer","Autumn")))</x:f>
        <x:v>Winter</x:v>
      </x:c>
      <x:c r="H295" s="11">
        <x:f>weather_data!E295-weather_data!D295</x:f>
        <x:v>-0.5</x:v>
      </x:c>
      <x:c r="I295" s="10">
        <x:f>IF(OR(weather_data!H295="light rain",weather_data!H295="moderate rain",weather_data!H295="drizzle",weather_data!H295="thunderstorm"),1,0)</x:f>
        <x:v>0</x:v>
      </x:c>
      <x:c r="J295" s="10">
        <x:f>IF(weather_data!I295&gt;=25,1,0)</x:f>
        <x:v>0</x:v>
      </x:c>
    </x:row>
    <x:row r="296">
      <x:c r="A296" s="8">
        <x:f>weather_data!B296</x:f>
        <x:v>46058.3125</x:v>
      </x:c>
      <x:c r="B296" s="9">
        <x:f>INT(A296)</x:f>
        <x:v>46058</x:v>
      </x:c>
      <x:c r="C296" s="10" t="str">
        <x:f>TEXT(B296,"yyyy-mm")</x:f>
        <x:v>2026-02</x:v>
      </x:c>
      <x:c r="D296" s="10">
        <x:f>MONTH(B296)</x:f>
        <x:v>2</x:v>
      </x:c>
      <x:c r="E296" s="10" t="str">
        <x:f>TEXT(B296,"mmmm")</x:f>
        <x:v>February</x:v>
      </x:c>
      <x:c r="F296" s="10" t="str">
        <x:f>"Q"&amp;ROUNDUP(D296/3,0)</x:f>
        <x:v>Q1</x:v>
      </x:c>
      <x:c r="G296" s="10" t="str">
        <x:f>IF(OR(D296=12,D296&lt;=2),"Winter",IF(D296&lt;=5,"Spring",IF(D296&lt;=8,"Summer","Autumn")))</x:f>
        <x:v>Winter</x:v>
      </x:c>
      <x:c r="H296" s="11">
        <x:f>weather_data!E296-weather_data!D296</x:f>
        <x:v>-1.8999999999999995</x:v>
      </x:c>
      <x:c r="I296" s="10">
        <x:f>IF(OR(weather_data!H296="light rain",weather_data!H296="moderate rain",weather_data!H296="drizzle",weather_data!H296="thunderstorm"),1,0)</x:f>
        <x:v>0</x:v>
      </x:c>
      <x:c r="J296" s="10">
        <x:f>IF(weather_data!I296&gt;=25,1,0)</x:f>
        <x:v>0</x:v>
      </x:c>
    </x:row>
    <x:row r="297">
      <x:c r="A297" s="8">
        <x:f>weather_data!B297</x:f>
        <x:v>46059.34722222222</x:v>
      </x:c>
      <x:c r="B297" s="9">
        <x:f>INT(A297)</x:f>
        <x:v>46059</x:v>
      </x:c>
      <x:c r="C297" s="10" t="str">
        <x:f>TEXT(B297,"yyyy-mm")</x:f>
        <x:v>2026-02</x:v>
      </x:c>
      <x:c r="D297" s="10">
        <x:f>MONTH(B297)</x:f>
        <x:v>2</x:v>
      </x:c>
      <x:c r="E297" s="10" t="str">
        <x:f>TEXT(B297,"mmmm")</x:f>
        <x:v>February</x:v>
      </x:c>
      <x:c r="F297" s="10" t="str">
        <x:f>"Q"&amp;ROUNDUP(D297/3,0)</x:f>
        <x:v>Q1</x:v>
      </x:c>
      <x:c r="G297" s="10" t="str">
        <x:f>IF(OR(D297=12,D297&lt;=2),"Winter",IF(D297&lt;=5,"Spring",IF(D297&lt;=8,"Summer","Autumn")))</x:f>
        <x:v>Winter</x:v>
      </x:c>
      <x:c r="H297" s="11">
        <x:f>weather_data!E297-weather_data!D297</x:f>
        <x:v>-1.9000000000000004</x:v>
      </x:c>
      <x:c r="I297" s="10">
        <x:f>IF(OR(weather_data!H297="light rain",weather_data!H297="moderate rain",weather_data!H297="drizzle",weather_data!H297="thunderstorm"),1,0)</x:f>
        <x:v>0</x:v>
      </x:c>
      <x:c r="J297" s="10">
        <x:f>IF(weather_data!I297&gt;=25,1,0)</x:f>
        <x:v>0</x:v>
      </x:c>
    </x:row>
    <x:row r="298">
      <x:c r="A298" s="8">
        <x:f>weather_data!B298</x:f>
        <x:v>46060.59722222222</x:v>
      </x:c>
      <x:c r="B298" s="9">
        <x:f>INT(A298)</x:f>
        <x:v>46060</x:v>
      </x:c>
      <x:c r="C298" s="10" t="str">
        <x:f>TEXT(B298,"yyyy-mm")</x:f>
        <x:v>2026-02</x:v>
      </x:c>
      <x:c r="D298" s="10">
        <x:f>MONTH(B298)</x:f>
        <x:v>2</x:v>
      </x:c>
      <x:c r="E298" s="10" t="str">
        <x:f>TEXT(B298,"mmmm")</x:f>
        <x:v>February</x:v>
      </x:c>
      <x:c r="F298" s="10" t="str">
        <x:f>"Q"&amp;ROUNDUP(D298/3,0)</x:f>
        <x:v>Q1</x:v>
      </x:c>
      <x:c r="G298" s="10" t="str">
        <x:f>IF(OR(D298=12,D298&lt;=2),"Winter",IF(D298&lt;=5,"Spring",IF(D298&lt;=8,"Summer","Autumn")))</x:f>
        <x:v>Winter</x:v>
      </x:c>
      <x:c r="H298" s="11">
        <x:f>weather_data!E298-weather_data!D298</x:f>
        <x:v>-1.1000000000000014</x:v>
      </x:c>
      <x:c r="I298" s="10">
        <x:f>IF(OR(weather_data!H298="light rain",weather_data!H298="moderate rain",weather_data!H298="drizzle",weather_data!H298="thunderstorm"),1,0)</x:f>
        <x:v>0</x:v>
      </x:c>
      <x:c r="J298" s="10">
        <x:f>IF(weather_data!I298&gt;=25,1,0)</x:f>
        <x:v>1</x:v>
      </x:c>
    </x:row>
    <x:row r="299">
      <x:c r="A299" s="8">
        <x:f>weather_data!B299</x:f>
        <x:v>46061.39583333334</x:v>
      </x:c>
      <x:c r="B299" s="9">
        <x:f>INT(A299)</x:f>
        <x:v>46061</x:v>
      </x:c>
      <x:c r="C299" s="10" t="str">
        <x:f>TEXT(B299,"yyyy-mm")</x:f>
        <x:v>2026-02</x:v>
      </x:c>
      <x:c r="D299" s="10">
        <x:f>MONTH(B299)</x:f>
        <x:v>2</x:v>
      </x:c>
      <x:c r="E299" s="10" t="str">
        <x:f>TEXT(B299,"mmmm")</x:f>
        <x:v>February</x:v>
      </x:c>
      <x:c r="F299" s="10" t="str">
        <x:f>"Q"&amp;ROUNDUP(D299/3,0)</x:f>
        <x:v>Q1</x:v>
      </x:c>
      <x:c r="G299" s="10" t="str">
        <x:f>IF(OR(D299=12,D299&lt;=2),"Winter",IF(D299&lt;=5,"Spring",IF(D299&lt;=8,"Summer","Autumn")))</x:f>
        <x:v>Winter</x:v>
      </x:c>
      <x:c r="H299" s="11">
        <x:f>weather_data!E299-weather_data!D299</x:f>
        <x:v>-1.0999999999999996</x:v>
      </x:c>
      <x:c r="I299" s="10">
        <x:f>IF(OR(weather_data!H299="light rain",weather_data!H299="moderate rain",weather_data!H299="drizzle",weather_data!H299="thunderstorm"),1,0)</x:f>
        <x:v>1</x:v>
      </x:c>
      <x:c r="J299" s="10">
        <x:f>IF(weather_data!I299&gt;=25,1,0)</x:f>
        <x:v>0</x:v>
      </x:c>
    </x:row>
    <x:row r="300">
      <x:c r="A300" s="8">
        <x:f>weather_data!B300</x:f>
        <x:v>46062.28472222222</x:v>
      </x:c>
      <x:c r="B300" s="9">
        <x:f>INT(A300)</x:f>
        <x:v>46062</x:v>
      </x:c>
      <x:c r="C300" s="10" t="str">
        <x:f>TEXT(B300,"yyyy-mm")</x:f>
        <x:v>2026-02</x:v>
      </x:c>
      <x:c r="D300" s="10">
        <x:f>MONTH(B300)</x:f>
        <x:v>2</x:v>
      </x:c>
      <x:c r="E300" s="10" t="str">
        <x:f>TEXT(B300,"mmmm")</x:f>
        <x:v>February</x:v>
      </x:c>
      <x:c r="F300" s="10" t="str">
        <x:f>"Q"&amp;ROUNDUP(D300/3,0)</x:f>
        <x:v>Q1</x:v>
      </x:c>
      <x:c r="G300" s="10" t="str">
        <x:f>IF(OR(D300=12,D300&lt;=2),"Winter",IF(D300&lt;=5,"Spring",IF(D300&lt;=8,"Summer","Autumn")))</x:f>
        <x:v>Winter</x:v>
      </x:c>
      <x:c r="H300" s="11">
        <x:f>weather_data!E300-weather_data!D300</x:f>
        <x:v>-1</x:v>
      </x:c>
      <x:c r="I300" s="10">
        <x:f>IF(OR(weather_data!H300="light rain",weather_data!H300="moderate rain",weather_data!H300="drizzle",weather_data!H300="thunderstorm"),1,0)</x:f>
        <x:v>0</x:v>
      </x:c>
      <x:c r="J300" s="10">
        <x:f>IF(weather_data!I300&gt;=25,1,0)</x:f>
        <x:v>0</x:v>
      </x:c>
    </x:row>
    <x:row r="301">
      <x:c r="A301" s="8">
        <x:f>weather_data!B301</x:f>
        <x:v>46063.85416666666</x:v>
      </x:c>
      <x:c r="B301" s="9">
        <x:f>INT(A301)</x:f>
        <x:v>46063</x:v>
      </x:c>
      <x:c r="C301" s="10" t="str">
        <x:f>TEXT(B301,"yyyy-mm")</x:f>
        <x:v>2026-02</x:v>
      </x:c>
      <x:c r="D301" s="10">
        <x:f>MONTH(B301)</x:f>
        <x:v>2</x:v>
      </x:c>
      <x:c r="E301" s="10" t="str">
        <x:f>TEXT(B301,"mmmm")</x:f>
        <x:v>February</x:v>
      </x:c>
      <x:c r="F301" s="10" t="str">
        <x:f>"Q"&amp;ROUNDUP(D301/3,0)</x:f>
        <x:v>Q1</x:v>
      </x:c>
      <x:c r="G301" s="10" t="str">
        <x:f>IF(OR(D301=12,D301&lt;=2),"Winter",IF(D301&lt;=5,"Spring",IF(D301&lt;=8,"Summer","Autumn")))</x:f>
        <x:v>Winter</x:v>
      </x:c>
      <x:c r="H301" s="11">
        <x:f>weather_data!E301-weather_data!D301</x:f>
        <x:v>-2</x:v>
      </x:c>
      <x:c r="I301" s="10">
        <x:f>IF(OR(weather_data!H301="light rain",weather_data!H301="moderate rain",weather_data!H301="drizzle",weather_data!H301="thunderstorm"),1,0)</x:f>
        <x:v>1</x:v>
      </x:c>
      <x:c r="J301" s="10">
        <x:f>IF(weather_data!I301&gt;=25,1,0)</x:f>
        <x:v>0</x:v>
      </x:c>
    </x:row>
    <x:row r="302">
      <x:c r="A302" s="8">
        <x:f>weather_data!B302</x:f>
        <x:v>46064.29861111111</x:v>
      </x:c>
      <x:c r="B302" s="9">
        <x:f>INT(A302)</x:f>
        <x:v>46064</x:v>
      </x:c>
      <x:c r="C302" s="10" t="str">
        <x:f>TEXT(B302,"yyyy-mm")</x:f>
        <x:v>2026-02</x:v>
      </x:c>
      <x:c r="D302" s="10">
        <x:f>MONTH(B302)</x:f>
        <x:v>2</x:v>
      </x:c>
      <x:c r="E302" s="10" t="str">
        <x:f>TEXT(B302,"mmmm")</x:f>
        <x:v>February</x:v>
      </x:c>
      <x:c r="F302" s="10" t="str">
        <x:f>"Q"&amp;ROUNDUP(D302/3,0)</x:f>
        <x:v>Q1</x:v>
      </x:c>
      <x:c r="G302" s="10" t="str">
        <x:f>IF(OR(D302=12,D302&lt;=2),"Winter",IF(D302&lt;=5,"Spring",IF(D302&lt;=8,"Summer","Autumn")))</x:f>
        <x:v>Winter</x:v>
      </x:c>
      <x:c r="H302" s="11">
        <x:f>weather_data!E302-weather_data!D302</x:f>
        <x:v>-0.5999999999999996</x:v>
      </x:c>
      <x:c r="I302" s="10">
        <x:f>IF(OR(weather_data!H302="light rain",weather_data!H302="moderate rain",weather_data!H302="drizzle",weather_data!H302="thunderstorm"),1,0)</x:f>
        <x:v>0</x:v>
      </x:c>
      <x:c r="J302" s="10">
        <x:f>IF(weather_data!I302&gt;=25,1,0)</x:f>
        <x:v>0</x:v>
      </x:c>
    </x:row>
    <x:row r="303">
      <x:c r="A303" s="8">
        <x:f>weather_data!B303</x:f>
        <x:v>46065.73611111111</x:v>
      </x:c>
      <x:c r="B303" s="9">
        <x:f>INT(A303)</x:f>
        <x:v>46065</x:v>
      </x:c>
      <x:c r="C303" s="10" t="str">
        <x:f>TEXT(B303,"yyyy-mm")</x:f>
        <x:v>2026-02</x:v>
      </x:c>
      <x:c r="D303" s="10">
        <x:f>MONTH(B303)</x:f>
        <x:v>2</x:v>
      </x:c>
      <x:c r="E303" s="10" t="str">
        <x:f>TEXT(B303,"mmmm")</x:f>
        <x:v>February</x:v>
      </x:c>
      <x:c r="F303" s="10" t="str">
        <x:f>"Q"&amp;ROUNDUP(D303/3,0)</x:f>
        <x:v>Q1</x:v>
      </x:c>
      <x:c r="G303" s="10" t="str">
        <x:f>IF(OR(D303=12,D303&lt;=2),"Winter",IF(D303&lt;=5,"Spring",IF(D303&lt;=8,"Summer","Autumn")))</x:f>
        <x:v>Winter</x:v>
      </x:c>
      <x:c r="H303" s="11">
        <x:f>weather_data!E303-weather_data!D303</x:f>
        <x:v>-0.3000000000000007</x:v>
      </x:c>
      <x:c r="I303" s="10">
        <x:f>IF(OR(weather_data!H303="light rain",weather_data!H303="moderate rain",weather_data!H303="drizzle",weather_data!H303="thunderstorm"),1,0)</x:f>
        <x:v>0</x:v>
      </x:c>
      <x:c r="J303" s="10">
        <x:f>IF(weather_data!I303&gt;=25,1,0)</x:f>
        <x:v>0</x:v>
      </x:c>
    </x:row>
    <x:row r="304">
      <x:c r="A304" s="8">
        <x:f>weather_data!B304</x:f>
        <x:v>46066.90972222222</x:v>
      </x:c>
      <x:c r="B304" s="9">
        <x:f>INT(A304)</x:f>
        <x:v>46066</x:v>
      </x:c>
      <x:c r="C304" s="10" t="str">
        <x:f>TEXT(B304,"yyyy-mm")</x:f>
        <x:v>2026-02</x:v>
      </x:c>
      <x:c r="D304" s="10">
        <x:f>MONTH(B304)</x:f>
        <x:v>2</x:v>
      </x:c>
      <x:c r="E304" s="10" t="str">
        <x:f>TEXT(B304,"mmmm")</x:f>
        <x:v>February</x:v>
      </x:c>
      <x:c r="F304" s="10" t="str">
        <x:f>"Q"&amp;ROUNDUP(D304/3,0)</x:f>
        <x:v>Q1</x:v>
      </x:c>
      <x:c r="G304" s="10" t="str">
        <x:f>IF(OR(D304=12,D304&lt;=2),"Winter",IF(D304&lt;=5,"Spring",IF(D304&lt;=8,"Summer","Autumn")))</x:f>
        <x:v>Winter</x:v>
      </x:c>
      <x:c r="H304" s="11">
        <x:f>weather_data!E304-weather_data!D304</x:f>
        <x:v>1.1000000000000014</x:v>
      </x:c>
      <x:c r="I304" s="10">
        <x:f>IF(OR(weather_data!H304="light rain",weather_data!H304="moderate rain",weather_data!H304="drizzle",weather_data!H304="thunderstorm"),1,0)</x:f>
        <x:v>1</x:v>
      </x:c>
      <x:c r="J304" s="10">
        <x:f>IF(weather_data!I304&gt;=25,1,0)</x:f>
        <x:v>1</x:v>
      </x:c>
    </x:row>
    <x:row r="305">
      <x:c r="A305" s="8">
        <x:f>weather_data!B305</x:f>
        <x:v>46067.83333333334</x:v>
      </x:c>
      <x:c r="B305" s="9">
        <x:f>INT(A305)</x:f>
        <x:v>46067</x:v>
      </x:c>
      <x:c r="C305" s="10" t="str">
        <x:f>TEXT(B305,"yyyy-mm")</x:f>
        <x:v>2026-02</x:v>
      </x:c>
      <x:c r="D305" s="10">
        <x:f>MONTH(B305)</x:f>
        <x:v>2</x:v>
      </x:c>
      <x:c r="E305" s="10" t="str">
        <x:f>TEXT(B305,"mmmm")</x:f>
        <x:v>February</x:v>
      </x:c>
      <x:c r="F305" s="10" t="str">
        <x:f>"Q"&amp;ROUNDUP(D305/3,0)</x:f>
        <x:v>Q1</x:v>
      </x:c>
      <x:c r="G305" s="10" t="str">
        <x:f>IF(OR(D305=12,D305&lt;=2),"Winter",IF(D305&lt;=5,"Spring",IF(D305&lt;=8,"Summer","Autumn")))</x:f>
        <x:v>Winter</x:v>
      </x:c>
      <x:c r="H305" s="11">
        <x:f>weather_data!E305-weather_data!D305</x:f>
        <x:v>-0.10000000000000142</x:v>
      </x:c>
      <x:c r="I305" s="10">
        <x:f>IF(OR(weather_data!H305="light rain",weather_data!H305="moderate rain",weather_data!H305="drizzle",weather_data!H305="thunderstorm"),1,0)</x:f>
        <x:v>0</x:v>
      </x:c>
      <x:c r="J305" s="10">
        <x:f>IF(weather_data!I305&gt;=25,1,0)</x:f>
        <x:v>0</x:v>
      </x:c>
    </x:row>
    <x:row r="306">
      <x:c r="A306" s="8">
        <x:f>weather_data!B306</x:f>
        <x:v>46068.51388888889</x:v>
      </x:c>
      <x:c r="B306" s="9">
        <x:f>INT(A306)</x:f>
        <x:v>46068</x:v>
      </x:c>
      <x:c r="C306" s="10" t="str">
        <x:f>TEXT(B306,"yyyy-mm")</x:f>
        <x:v>2026-02</x:v>
      </x:c>
      <x:c r="D306" s="10">
        <x:f>MONTH(B306)</x:f>
        <x:v>2</x:v>
      </x:c>
      <x:c r="E306" s="10" t="str">
        <x:f>TEXT(B306,"mmmm")</x:f>
        <x:v>February</x:v>
      </x:c>
      <x:c r="F306" s="10" t="str">
        <x:f>"Q"&amp;ROUNDUP(D306/3,0)</x:f>
        <x:v>Q1</x:v>
      </x:c>
      <x:c r="G306" s="10" t="str">
        <x:f>IF(OR(D306=12,D306&lt;=2),"Winter",IF(D306&lt;=5,"Spring",IF(D306&lt;=8,"Summer","Autumn")))</x:f>
        <x:v>Winter</x:v>
      </x:c>
      <x:c r="H306" s="11">
        <x:f>weather_data!E306-weather_data!D306</x:f>
        <x:v>-0.9000000000000004</x:v>
      </x:c>
      <x:c r="I306" s="10">
        <x:f>IF(OR(weather_data!H306="light rain",weather_data!H306="moderate rain",weather_data!H306="drizzle",weather_data!H306="thunderstorm"),1,0)</x:f>
        <x:v>0</x:v>
      </x:c>
      <x:c r="J306" s="10">
        <x:f>IF(weather_data!I306&gt;=25,1,0)</x:f>
        <x:v>0</x:v>
      </x:c>
    </x:row>
    <x:row r="307">
      <x:c r="A307" s="8">
        <x:f>weather_data!B307</x:f>
        <x:v>46069.43055555555</x:v>
      </x:c>
      <x:c r="B307" s="9">
        <x:f>INT(A307)</x:f>
        <x:v>46069</x:v>
      </x:c>
      <x:c r="C307" s="10" t="str">
        <x:f>TEXT(B307,"yyyy-mm")</x:f>
        <x:v>2026-02</x:v>
      </x:c>
      <x:c r="D307" s="10">
        <x:f>MONTH(B307)</x:f>
        <x:v>2</x:v>
      </x:c>
      <x:c r="E307" s="10" t="str">
        <x:f>TEXT(B307,"mmmm")</x:f>
        <x:v>February</x:v>
      </x:c>
      <x:c r="F307" s="10" t="str">
        <x:f>"Q"&amp;ROUNDUP(D307/3,0)</x:f>
        <x:v>Q1</x:v>
      </x:c>
      <x:c r="G307" s="10" t="str">
        <x:f>IF(OR(D307=12,D307&lt;=2),"Winter",IF(D307&lt;=5,"Spring",IF(D307&lt;=8,"Summer","Autumn")))</x:f>
        <x:v>Winter</x:v>
      </x:c>
      <x:c r="H307" s="11">
        <x:f>weather_data!E307-weather_data!D307</x:f>
        <x:v>-0.5</x:v>
      </x:c>
      <x:c r="I307" s="10">
        <x:f>IF(OR(weather_data!H307="light rain",weather_data!H307="moderate rain",weather_data!H307="drizzle",weather_data!H307="thunderstorm"),1,0)</x:f>
        <x:v>1</x:v>
      </x:c>
      <x:c r="J307" s="10">
        <x:f>IF(weather_data!I307&gt;=25,1,0)</x:f>
        <x:v>0</x:v>
      </x:c>
    </x:row>
    <x:row r="308">
      <x:c r="A308" s="8">
        <x:f>weather_data!B308</x:f>
        <x:v>46070.86805555555</x:v>
      </x:c>
      <x:c r="B308" s="9">
        <x:f>INT(A308)</x:f>
        <x:v>46070</x:v>
      </x:c>
      <x:c r="C308" s="10" t="str">
        <x:f>TEXT(B308,"yyyy-mm")</x:f>
        <x:v>2026-02</x:v>
      </x:c>
      <x:c r="D308" s="10">
        <x:f>MONTH(B308)</x:f>
        <x:v>2</x:v>
      </x:c>
      <x:c r="E308" s="10" t="str">
        <x:f>TEXT(B308,"mmmm")</x:f>
        <x:v>February</x:v>
      </x:c>
      <x:c r="F308" s="10" t="str">
        <x:f>"Q"&amp;ROUNDUP(D308/3,0)</x:f>
        <x:v>Q1</x:v>
      </x:c>
      <x:c r="G308" s="10" t="str">
        <x:f>IF(OR(D308=12,D308&lt;=2),"Winter",IF(D308&lt;=5,"Spring",IF(D308&lt;=8,"Summer","Autumn")))</x:f>
        <x:v>Winter</x:v>
      </x:c>
      <x:c r="H308" s="11">
        <x:f>weather_data!E308-weather_data!D308</x:f>
        <x:v>-0.09999999999999964</x:v>
      </x:c>
      <x:c r="I308" s="10">
        <x:f>IF(OR(weather_data!H308="light rain",weather_data!H308="moderate rain",weather_data!H308="drizzle",weather_data!H308="thunderstorm"),1,0)</x:f>
        <x:v>0</x:v>
      </x:c>
      <x:c r="J308" s="10">
        <x:f>IF(weather_data!I308&gt;=25,1,0)</x:f>
        <x:v>0</x:v>
      </x:c>
    </x:row>
    <x:row r="309">
      <x:c r="A309" s="8">
        <x:f>weather_data!B309</x:f>
        <x:v>46072.875</x:v>
      </x:c>
      <x:c r="B309" s="9">
        <x:f>INT(A309)</x:f>
        <x:v>46072</x:v>
      </x:c>
      <x:c r="C309" s="10" t="str">
        <x:f>TEXT(B309,"yyyy-mm")</x:f>
        <x:v>2026-02</x:v>
      </x:c>
      <x:c r="D309" s="10">
        <x:f>MONTH(B309)</x:f>
        <x:v>2</x:v>
      </x:c>
      <x:c r="E309" s="10" t="str">
        <x:f>TEXT(B309,"mmmm")</x:f>
        <x:v>February</x:v>
      </x:c>
      <x:c r="F309" s="10" t="str">
        <x:f>"Q"&amp;ROUNDUP(D309/3,0)</x:f>
        <x:v>Q1</x:v>
      </x:c>
      <x:c r="G309" s="10" t="str">
        <x:f>IF(OR(D309=12,D309&lt;=2),"Winter",IF(D309&lt;=5,"Spring",IF(D309&lt;=8,"Summer","Autumn")))</x:f>
        <x:v>Winter</x:v>
      </x:c>
      <x:c r="H309" s="11">
        <x:f>weather_data!E309-weather_data!D309</x:f>
        <x:v>0</x:v>
      </x:c>
      <x:c r="I309" s="10">
        <x:f>IF(OR(weather_data!H309="light rain",weather_data!H309="moderate rain",weather_data!H309="drizzle",weather_data!H309="thunderstorm"),1,0)</x:f>
        <x:v>0</x:v>
      </x:c>
      <x:c r="J309" s="10">
        <x:f>IF(weather_data!I309&gt;=25,1,0)</x:f>
        <x:v>0</x:v>
      </x:c>
    </x:row>
    <x:row r="310">
      <x:c r="A310" s="8">
        <x:f>weather_data!B310</x:f>
        <x:v>46073.28472222222</x:v>
      </x:c>
      <x:c r="B310" s="9">
        <x:f>INT(A310)</x:f>
        <x:v>46073</x:v>
      </x:c>
      <x:c r="C310" s="10" t="str">
        <x:f>TEXT(B310,"yyyy-mm")</x:f>
        <x:v>2026-02</x:v>
      </x:c>
      <x:c r="D310" s="10">
        <x:f>MONTH(B310)</x:f>
        <x:v>2</x:v>
      </x:c>
      <x:c r="E310" s="10" t="str">
        <x:f>TEXT(B310,"mmmm")</x:f>
        <x:v>February</x:v>
      </x:c>
      <x:c r="F310" s="10" t="str">
        <x:f>"Q"&amp;ROUNDUP(D310/3,0)</x:f>
        <x:v>Q1</x:v>
      </x:c>
      <x:c r="G310" s="10" t="str">
        <x:f>IF(OR(D310=12,D310&lt;=2),"Winter",IF(D310&lt;=5,"Spring",IF(D310&lt;=8,"Summer","Autumn")))</x:f>
        <x:v>Winter</x:v>
      </x:c>
      <x:c r="H310" s="11">
        <x:f>weather_data!E310-weather_data!D310</x:f>
        <x:v>-0.7000000000000011</x:v>
      </x:c>
      <x:c r="I310" s="10">
        <x:f>IF(OR(weather_data!H310="light rain",weather_data!H310="moderate rain",weather_data!H310="drizzle",weather_data!H310="thunderstorm"),1,0)</x:f>
        <x:v>0</x:v>
      </x:c>
      <x:c r="J310" s="10">
        <x:f>IF(weather_data!I310&gt;=25,1,0)</x:f>
        <x:v>0</x:v>
      </x:c>
    </x:row>
    <x:row r="311">
      <x:c r="A311" s="8">
        <x:f>weather_data!B311</x:f>
        <x:v>46074.57638888889</x:v>
      </x:c>
      <x:c r="B311" s="9">
        <x:f>INT(A311)</x:f>
        <x:v>46074</x:v>
      </x:c>
      <x:c r="C311" s="10" t="str">
        <x:f>TEXT(B311,"yyyy-mm")</x:f>
        <x:v>2026-02</x:v>
      </x:c>
      <x:c r="D311" s="10">
        <x:f>MONTH(B311)</x:f>
        <x:v>2</x:v>
      </x:c>
      <x:c r="E311" s="10" t="str">
        <x:f>TEXT(B311,"mmmm")</x:f>
        <x:v>February</x:v>
      </x:c>
      <x:c r="F311" s="10" t="str">
        <x:f>"Q"&amp;ROUNDUP(D311/3,0)</x:f>
        <x:v>Q1</x:v>
      </x:c>
      <x:c r="G311" s="10" t="str">
        <x:f>IF(OR(D311=12,D311&lt;=2),"Winter",IF(D311&lt;=5,"Spring",IF(D311&lt;=8,"Summer","Autumn")))</x:f>
        <x:v>Winter</x:v>
      </x:c>
      <x:c r="H311" s="11">
        <x:f>weather_data!E311-weather_data!D311</x:f>
        <x:v>0.40000000000000036</x:v>
      </x:c>
      <x:c r="I311" s="10">
        <x:f>IF(OR(weather_data!H311="light rain",weather_data!H311="moderate rain",weather_data!H311="drizzle",weather_data!H311="thunderstorm"),1,0)</x:f>
        <x:v>0</x:v>
      </x:c>
      <x:c r="J311" s="10">
        <x:f>IF(weather_data!I311&gt;=25,1,0)</x:f>
        <x:v>0</x:v>
      </x:c>
    </x:row>
    <x:row r="312">
      <x:c r="A312" s="8">
        <x:f>weather_data!B312</x:f>
        <x:v>46075.47222222222</x:v>
      </x:c>
      <x:c r="B312" s="9">
        <x:f>INT(A312)</x:f>
        <x:v>46075</x:v>
      </x:c>
      <x:c r="C312" s="10" t="str">
        <x:f>TEXT(B312,"yyyy-mm")</x:f>
        <x:v>2026-02</x:v>
      </x:c>
      <x:c r="D312" s="10">
        <x:f>MONTH(B312)</x:f>
        <x:v>2</x:v>
      </x:c>
      <x:c r="E312" s="10" t="str">
        <x:f>TEXT(B312,"mmmm")</x:f>
        <x:v>February</x:v>
      </x:c>
      <x:c r="F312" s="10" t="str">
        <x:f>"Q"&amp;ROUNDUP(D312/3,0)</x:f>
        <x:v>Q1</x:v>
      </x:c>
      <x:c r="G312" s="10" t="str">
        <x:f>IF(OR(D312=12,D312&lt;=2),"Winter",IF(D312&lt;=5,"Spring",IF(D312&lt;=8,"Summer","Autumn")))</x:f>
        <x:v>Winter</x:v>
      </x:c>
      <x:c r="H312" s="11">
        <x:f>weather_data!E312-weather_data!D312</x:f>
        <x:v>-0.5999999999999996</x:v>
      </x:c>
      <x:c r="I312" s="10">
        <x:f>IF(OR(weather_data!H312="light rain",weather_data!H312="moderate rain",weather_data!H312="drizzle",weather_data!H312="thunderstorm"),1,0)</x:f>
        <x:v>0</x:v>
      </x:c>
      <x:c r="J312" s="10">
        <x:f>IF(weather_data!I312&gt;=25,1,0)</x:f>
        <x:v>0</x:v>
      </x:c>
    </x:row>
    <x:row r="313">
      <x:c r="A313" s="8">
        <x:f>weather_data!B313</x:f>
        <x:v>46076.27777777778</x:v>
      </x:c>
      <x:c r="B313" s="9">
        <x:f>INT(A313)</x:f>
        <x:v>46076</x:v>
      </x:c>
      <x:c r="C313" s="10" t="str">
        <x:f>TEXT(B313,"yyyy-mm")</x:f>
        <x:v>2026-02</x:v>
      </x:c>
      <x:c r="D313" s="10">
        <x:f>MONTH(B313)</x:f>
        <x:v>2</x:v>
      </x:c>
      <x:c r="E313" s="10" t="str">
        <x:f>TEXT(B313,"mmmm")</x:f>
        <x:v>February</x:v>
      </x:c>
      <x:c r="F313" s="10" t="str">
        <x:f>"Q"&amp;ROUNDUP(D313/3,0)</x:f>
        <x:v>Q1</x:v>
      </x:c>
      <x:c r="G313" s="10" t="str">
        <x:f>IF(OR(D313=12,D313&lt;=2),"Winter",IF(D313&lt;=5,"Spring",IF(D313&lt;=8,"Summer","Autumn")))</x:f>
        <x:v>Winter</x:v>
      </x:c>
      <x:c r="H313" s="11">
        <x:f>weather_data!E313-weather_data!D313</x:f>
        <x:v>-1.0999999999999996</x:v>
      </x:c>
      <x:c r="I313" s="10">
        <x:f>IF(OR(weather_data!H313="light rain",weather_data!H313="moderate rain",weather_data!H313="drizzle",weather_data!H313="thunderstorm"),1,0)</x:f>
        <x:v>0</x:v>
      </x:c>
      <x:c r="J313" s="10">
        <x:f>IF(weather_data!I313&gt;=25,1,0)</x:f>
        <x:v>0</x:v>
      </x:c>
    </x:row>
    <x:row r="314">
      <x:c r="A314" s="8">
        <x:f>weather_data!B314</x:f>
        <x:v>46077.79166666666</x:v>
      </x:c>
      <x:c r="B314" s="9">
        <x:f>INT(A314)</x:f>
        <x:v>46077</x:v>
      </x:c>
      <x:c r="C314" s="10" t="str">
        <x:f>TEXT(B314,"yyyy-mm")</x:f>
        <x:v>2026-02</x:v>
      </x:c>
      <x:c r="D314" s="10">
        <x:f>MONTH(B314)</x:f>
        <x:v>2</x:v>
      </x:c>
      <x:c r="E314" s="10" t="str">
        <x:f>TEXT(B314,"mmmm")</x:f>
        <x:v>February</x:v>
      </x:c>
      <x:c r="F314" s="10" t="str">
        <x:f>"Q"&amp;ROUNDUP(D314/3,0)</x:f>
        <x:v>Q1</x:v>
      </x:c>
      <x:c r="G314" s="10" t="str">
        <x:f>IF(OR(D314=12,D314&lt;=2),"Winter",IF(D314&lt;=5,"Spring",IF(D314&lt;=8,"Summer","Autumn")))</x:f>
        <x:v>Winter</x:v>
      </x:c>
      <x:c r="H314" s="11">
        <x:f>weather_data!E314-weather_data!D314</x:f>
        <x:v>-0.5</x:v>
      </x:c>
      <x:c r="I314" s="10">
        <x:f>IF(OR(weather_data!H314="light rain",weather_data!H314="moderate rain",weather_data!H314="drizzle",weather_data!H314="thunderstorm"),1,0)</x:f>
        <x:v>0</x:v>
      </x:c>
      <x:c r="J314" s="10">
        <x:f>IF(weather_data!I314&gt;=25,1,0)</x:f>
        <x:v>0</x:v>
      </x:c>
    </x:row>
    <x:row r="315">
      <x:c r="A315" s="8">
        <x:f>weather_data!B315</x:f>
        <x:v>46079.54166666666</x:v>
      </x:c>
      <x:c r="B315" s="9">
        <x:f>INT(A315)</x:f>
        <x:v>46079</x:v>
      </x:c>
      <x:c r="C315" s="10" t="str">
        <x:f>TEXT(B315,"yyyy-mm")</x:f>
        <x:v>2026-02</x:v>
      </x:c>
      <x:c r="D315" s="10">
        <x:f>MONTH(B315)</x:f>
        <x:v>2</x:v>
      </x:c>
      <x:c r="E315" s="10" t="str">
        <x:f>TEXT(B315,"mmmm")</x:f>
        <x:v>February</x:v>
      </x:c>
      <x:c r="F315" s="10" t="str">
        <x:f>"Q"&amp;ROUNDUP(D315/3,0)</x:f>
        <x:v>Q1</x:v>
      </x:c>
      <x:c r="G315" s="10" t="str">
        <x:f>IF(OR(D315=12,D315&lt;=2),"Winter",IF(D315&lt;=5,"Spring",IF(D315&lt;=8,"Summer","Autumn")))</x:f>
        <x:v>Winter</x:v>
      </x:c>
      <x:c r="H315" s="11">
        <x:f>weather_data!E315-weather_data!D315</x:f>
        <x:v>-0.29999999999999893</x:v>
      </x:c>
      <x:c r="I315" s="10">
        <x:f>IF(OR(weather_data!H315="light rain",weather_data!H315="moderate rain",weather_data!H315="drizzle",weather_data!H315="thunderstorm"),1,0)</x:f>
        <x:v>0</x:v>
      </x:c>
      <x:c r="J315" s="10">
        <x:f>IF(weather_data!I315&gt;=25,1,0)</x:f>
        <x:v>0</x:v>
      </x:c>
    </x:row>
    <x:row r="316">
      <x:c r="A316" s="8">
        <x:f>weather_data!B316</x:f>
        <x:v>46080.83333333334</x:v>
      </x:c>
      <x:c r="B316" s="9">
        <x:f>INT(A316)</x:f>
        <x:v>46080</x:v>
      </x:c>
      <x:c r="C316" s="10" t="str">
        <x:f>TEXT(B316,"yyyy-mm")</x:f>
        <x:v>2026-02</x:v>
      </x:c>
      <x:c r="D316" s="10">
        <x:f>MONTH(B316)</x:f>
        <x:v>2</x:v>
      </x:c>
      <x:c r="E316" s="10" t="str">
        <x:f>TEXT(B316,"mmmm")</x:f>
        <x:v>February</x:v>
      </x:c>
      <x:c r="F316" s="10" t="str">
        <x:f>"Q"&amp;ROUNDUP(D316/3,0)</x:f>
        <x:v>Q1</x:v>
      </x:c>
      <x:c r="G316" s="10" t="str">
        <x:f>IF(OR(D316=12,D316&lt;=2),"Winter",IF(D316&lt;=5,"Spring",IF(D316&lt;=8,"Summer","Autumn")))</x:f>
        <x:v>Winter</x:v>
      </x:c>
      <x:c r="H316" s="11">
        <x:f>weather_data!E316-weather_data!D316</x:f>
        <x:v>0.09999999999999964</x:v>
      </x:c>
      <x:c r="I316" s="10">
        <x:f>IF(OR(weather_data!H316="light rain",weather_data!H316="moderate rain",weather_data!H316="drizzle",weather_data!H316="thunderstorm"),1,0)</x:f>
        <x:v>0</x:v>
      </x:c>
      <x:c r="J316" s="10">
        <x:f>IF(weather_data!I316&gt;=25,1,0)</x:f>
        <x:v>0</x:v>
      </x:c>
    </x:row>
    <x:row r="317">
      <x:c r="A317" s="8">
        <x:f>weather_data!B317</x:f>
        <x:v>46081.4375</x:v>
      </x:c>
      <x:c r="B317" s="9">
        <x:f>INT(A317)</x:f>
        <x:v>46081</x:v>
      </x:c>
      <x:c r="C317" s="10" t="str">
        <x:f>TEXT(B317,"yyyy-mm")</x:f>
        <x:v>2026-02</x:v>
      </x:c>
      <x:c r="D317" s="10">
        <x:f>MONTH(B317)</x:f>
        <x:v>2</x:v>
      </x:c>
      <x:c r="E317" s="10" t="str">
        <x:f>TEXT(B317,"mmmm")</x:f>
        <x:v>February</x:v>
      </x:c>
      <x:c r="F317" s="10" t="str">
        <x:f>"Q"&amp;ROUNDUP(D317/3,0)</x:f>
        <x:v>Q1</x:v>
      </x:c>
      <x:c r="G317" s="10" t="str">
        <x:f>IF(OR(D317=12,D317&lt;=2),"Winter",IF(D317&lt;=5,"Spring",IF(D317&lt;=8,"Summer","Autumn")))</x:f>
        <x:v>Winter</x:v>
      </x:c>
      <x:c r="H317" s="11">
        <x:f>weather_data!E317-weather_data!D317</x:f>
        <x:v>-0.6000000000000014</x:v>
      </x:c>
      <x:c r="I317" s="10">
        <x:f>IF(OR(weather_data!H317="light rain",weather_data!H317="moderate rain",weather_data!H317="drizzle",weather_data!H317="thunderstorm"),1,0)</x:f>
        <x:v>0</x:v>
      </x:c>
      <x:c r="J317" s="10">
        <x:f>IF(weather_data!I317&gt;=25,1,0)</x:f>
        <x:v>0</x:v>
      </x:c>
    </x:row>
    <x:row r="318">
      <x:c r="A318" s="8">
        <x:f>weather_data!B318</x:f>
        <x:v>46082.65277777778</x:v>
      </x:c>
      <x:c r="B318" s="9">
        <x:f>INT(A318)</x:f>
        <x:v>46082</x:v>
      </x:c>
      <x:c r="C318" s="10" t="str">
        <x:f>TEXT(B318,"yyyy-mm")</x:f>
        <x:v>2026-03</x:v>
      </x:c>
      <x:c r="D318" s="10">
        <x:f>MONTH(B318)</x:f>
        <x:v>3</x:v>
      </x:c>
      <x:c r="E318" s="10" t="str">
        <x:f>TEXT(B318,"mmmm")</x:f>
        <x:v>March</x:v>
      </x:c>
      <x:c r="F318" s="10" t="str">
        <x:f>"Q"&amp;ROUNDUP(D318/3,0)</x:f>
        <x:v>Q1</x:v>
      </x:c>
      <x:c r="G318" s="10" t="str">
        <x:f>IF(OR(D318=12,D318&lt;=2),"Winter",IF(D318&lt;=5,"Spring",IF(D318&lt;=8,"Summer","Autumn")))</x:f>
        <x:v>Spring</x:v>
      </x:c>
      <x:c r="H318" s="11">
        <x:f>weather_data!E318-weather_data!D318</x:f>
        <x:v>-0.5</x:v>
      </x:c>
      <x:c r="I318" s="10">
        <x:f>IF(OR(weather_data!H318="light rain",weather_data!H318="moderate rain",weather_data!H318="drizzle",weather_data!H318="thunderstorm"),1,0)</x:f>
        <x:v>0</x:v>
      </x:c>
      <x:c r="J318" s="10">
        <x:f>IF(weather_data!I318&gt;=25,1,0)</x:f>
        <x:v>0</x:v>
      </x:c>
    </x:row>
    <x:row r="319">
      <x:c r="A319" s="8">
        <x:f>weather_data!B319</x:f>
        <x:v>46083.60416666666</x:v>
      </x:c>
      <x:c r="B319" s="9">
        <x:f>INT(A319)</x:f>
        <x:v>46083</x:v>
      </x:c>
      <x:c r="C319" s="10" t="str">
        <x:f>TEXT(B319,"yyyy-mm")</x:f>
        <x:v>2026-03</x:v>
      </x:c>
      <x:c r="D319" s="10">
        <x:f>MONTH(B319)</x:f>
        <x:v>3</x:v>
      </x:c>
      <x:c r="E319" s="10" t="str">
        <x:f>TEXT(B319,"mmmm")</x:f>
        <x:v>March</x:v>
      </x:c>
      <x:c r="F319" s="10" t="str">
        <x:f>"Q"&amp;ROUNDUP(D319/3,0)</x:f>
        <x:v>Q1</x:v>
      </x:c>
      <x:c r="G319" s="10" t="str">
        <x:f>IF(OR(D319=12,D319&lt;=2),"Winter",IF(D319&lt;=5,"Spring",IF(D319&lt;=8,"Summer","Autumn")))</x:f>
        <x:v>Spring</x:v>
      </x:c>
      <x:c r="H319" s="11">
        <x:f>weather_data!E319-weather_data!D319</x:f>
        <x:v>-1.1000000000000005</x:v>
      </x:c>
      <x:c r="I319" s="10">
        <x:f>IF(OR(weather_data!H319="light rain",weather_data!H319="moderate rain",weather_data!H319="drizzle",weather_data!H319="thunderstorm"),1,0)</x:f>
        <x:v>0</x:v>
      </x:c>
      <x:c r="J319" s="10">
        <x:f>IF(weather_data!I319&gt;=25,1,0)</x:f>
        <x:v>0</x:v>
      </x:c>
    </x:row>
    <x:row r="320">
      <x:c r="A320" s="8">
        <x:f>weather_data!B320</x:f>
        <x:v>46084.89583333334</x:v>
      </x:c>
      <x:c r="B320" s="9">
        <x:f>INT(A320)</x:f>
        <x:v>46084</x:v>
      </x:c>
      <x:c r="C320" s="10" t="str">
        <x:f>TEXT(B320,"yyyy-mm")</x:f>
        <x:v>2026-03</x:v>
      </x:c>
      <x:c r="D320" s="10">
        <x:f>MONTH(B320)</x:f>
        <x:v>3</x:v>
      </x:c>
      <x:c r="E320" s="10" t="str">
        <x:f>TEXT(B320,"mmmm")</x:f>
        <x:v>March</x:v>
      </x:c>
      <x:c r="F320" s="10" t="str">
        <x:f>"Q"&amp;ROUNDUP(D320/3,0)</x:f>
        <x:v>Q1</x:v>
      </x:c>
      <x:c r="G320" s="10" t="str">
        <x:f>IF(OR(D320=12,D320&lt;=2),"Winter",IF(D320&lt;=5,"Spring",IF(D320&lt;=8,"Summer","Autumn")))</x:f>
        <x:v>Spring</x:v>
      </x:c>
      <x:c r="H320" s="11">
        <x:f>weather_data!E320-weather_data!D320</x:f>
        <x:v>-0.9000000000000004</x:v>
      </x:c>
      <x:c r="I320" s="10">
        <x:f>IF(OR(weather_data!H320="light rain",weather_data!H320="moderate rain",weather_data!H320="drizzle",weather_data!H320="thunderstorm"),1,0)</x:f>
        <x:v>1</x:v>
      </x:c>
      <x:c r="J320" s="10">
        <x:f>IF(weather_data!I320&gt;=25,1,0)</x:f>
        <x:v>1</x:v>
      </x:c>
    </x:row>
    <x:row r="321">
      <x:c r="A321" s="8">
        <x:f>weather_data!B321</x:f>
        <x:v>46085.5625</x:v>
      </x:c>
      <x:c r="B321" s="9">
        <x:f>INT(A321)</x:f>
        <x:v>46085</x:v>
      </x:c>
      <x:c r="C321" s="10" t="str">
        <x:f>TEXT(B321,"yyyy-mm")</x:f>
        <x:v>2026-03</x:v>
      </x:c>
      <x:c r="D321" s="10">
        <x:f>MONTH(B321)</x:f>
        <x:v>3</x:v>
      </x:c>
      <x:c r="E321" s="10" t="str">
        <x:f>TEXT(B321,"mmmm")</x:f>
        <x:v>March</x:v>
      </x:c>
      <x:c r="F321" s="10" t="str">
        <x:f>"Q"&amp;ROUNDUP(D321/3,0)</x:f>
        <x:v>Q1</x:v>
      </x:c>
      <x:c r="G321" s="10" t="str">
        <x:f>IF(OR(D321=12,D321&lt;=2),"Winter",IF(D321&lt;=5,"Spring",IF(D321&lt;=8,"Summer","Autumn")))</x:f>
        <x:v>Spring</x:v>
      </x:c>
      <x:c r="H321" s="11">
        <x:f>weather_data!E321-weather_data!D321</x:f>
        <x:v>0.3000000000000007</x:v>
      </x:c>
      <x:c r="I321" s="10">
        <x:f>IF(OR(weather_data!H321="light rain",weather_data!H321="moderate rain",weather_data!H321="drizzle",weather_data!H321="thunderstorm"),1,0)</x:f>
        <x:v>0</x:v>
      </x:c>
      <x:c r="J321" s="10">
        <x:f>IF(weather_data!I321&gt;=25,1,0)</x:f>
        <x:v>0</x:v>
      </x:c>
    </x:row>
    <x:row r="322">
      <x:c r="A322" s="8">
        <x:f>weather_data!B322</x:f>
        <x:v>46086.4375</x:v>
      </x:c>
      <x:c r="B322" s="9">
        <x:f>INT(A322)</x:f>
        <x:v>46086</x:v>
      </x:c>
      <x:c r="C322" s="10" t="str">
        <x:f>TEXT(B322,"yyyy-mm")</x:f>
        <x:v>2026-03</x:v>
      </x:c>
      <x:c r="D322" s="10">
        <x:f>MONTH(B322)</x:f>
        <x:v>3</x:v>
      </x:c>
      <x:c r="E322" s="10" t="str">
        <x:f>TEXT(B322,"mmmm")</x:f>
        <x:v>March</x:v>
      </x:c>
      <x:c r="F322" s="10" t="str">
        <x:f>"Q"&amp;ROUNDUP(D322/3,0)</x:f>
        <x:v>Q1</x:v>
      </x:c>
      <x:c r="G322" s="10" t="str">
        <x:f>IF(OR(D322=12,D322&lt;=2),"Winter",IF(D322&lt;=5,"Spring",IF(D322&lt;=8,"Summer","Autumn")))</x:f>
        <x:v>Spring</x:v>
      </x:c>
      <x:c r="H322" s="11">
        <x:f>weather_data!E322-weather_data!D322</x:f>
        <x:v>-1.200000000000001</x:v>
      </x:c>
      <x:c r="I322" s="10">
        <x:f>IF(OR(weather_data!H322="light rain",weather_data!H322="moderate rain",weather_data!H322="drizzle",weather_data!H322="thunderstorm"),1,0)</x:f>
        <x:v>0</x:v>
      </x:c>
      <x:c r="J322" s="10">
        <x:f>IF(weather_data!I322&gt;=25,1,0)</x:f>
        <x:v>0</x:v>
      </x:c>
    </x:row>
    <x:row r="323">
      <x:c r="A323" s="8">
        <x:f>weather_data!B323</x:f>
        <x:v>46087.52777777778</x:v>
      </x:c>
      <x:c r="B323" s="9">
        <x:f>INT(A323)</x:f>
        <x:v>46087</x:v>
      </x:c>
      <x:c r="C323" s="10" t="str">
        <x:f>TEXT(B323,"yyyy-mm")</x:f>
        <x:v>2026-03</x:v>
      </x:c>
      <x:c r="D323" s="10">
        <x:f>MONTH(B323)</x:f>
        <x:v>3</x:v>
      </x:c>
      <x:c r="E323" s="10" t="str">
        <x:f>TEXT(B323,"mmmm")</x:f>
        <x:v>March</x:v>
      </x:c>
      <x:c r="F323" s="10" t="str">
        <x:f>"Q"&amp;ROUNDUP(D323/3,0)</x:f>
        <x:v>Q1</x:v>
      </x:c>
      <x:c r="G323" s="10" t="str">
        <x:f>IF(OR(D323=12,D323&lt;=2),"Winter",IF(D323&lt;=5,"Spring",IF(D323&lt;=8,"Summer","Autumn")))</x:f>
        <x:v>Spring</x:v>
      </x:c>
      <x:c r="H323" s="11">
        <x:f>weather_data!E323-weather_data!D323</x:f>
        <x:v>0.7000000000000011</x:v>
      </x:c>
      <x:c r="I323" s="10">
        <x:f>IF(OR(weather_data!H323="light rain",weather_data!H323="moderate rain",weather_data!H323="drizzle",weather_data!H323="thunderstorm"),1,0)</x:f>
        <x:v>0</x:v>
      </x:c>
      <x:c r="J323" s="10">
        <x:f>IF(weather_data!I323&gt;=25,1,0)</x:f>
        <x:v>0</x:v>
      </x:c>
    </x:row>
    <x:row r="324">
      <x:c r="A324" s="8">
        <x:f>weather_data!B324</x:f>
        <x:v>46088.41666666666</x:v>
      </x:c>
      <x:c r="B324" s="9">
        <x:f>INT(A324)</x:f>
        <x:v>46088</x:v>
      </x:c>
      <x:c r="C324" s="10" t="str">
        <x:f>TEXT(B324,"yyyy-mm")</x:f>
        <x:v>2026-03</x:v>
      </x:c>
      <x:c r="D324" s="10">
        <x:f>MONTH(B324)</x:f>
        <x:v>3</x:v>
      </x:c>
      <x:c r="E324" s="10" t="str">
        <x:f>TEXT(B324,"mmmm")</x:f>
        <x:v>March</x:v>
      </x:c>
      <x:c r="F324" s="10" t="str">
        <x:f>"Q"&amp;ROUNDUP(D324/3,0)</x:f>
        <x:v>Q1</x:v>
      </x:c>
      <x:c r="G324" s="10" t="str">
        <x:f>IF(OR(D324=12,D324&lt;=2),"Winter",IF(D324&lt;=5,"Spring",IF(D324&lt;=8,"Summer","Autumn")))</x:f>
        <x:v>Spring</x:v>
      </x:c>
      <x:c r="H324" s="11">
        <x:f>weather_data!E324-weather_data!D324</x:f>
        <x:v>-0.40000000000000036</x:v>
      </x:c>
      <x:c r="I324" s="10">
        <x:f>IF(OR(weather_data!H324="light rain",weather_data!H324="moderate rain",weather_data!H324="drizzle",weather_data!H324="thunderstorm"),1,0)</x:f>
        <x:v>1</x:v>
      </x:c>
      <x:c r="J324" s="10">
        <x:f>IF(weather_data!I324&gt;=25,1,0)</x:f>
        <x:v>0</x:v>
      </x:c>
    </x:row>
    <x:row r="325">
      <x:c r="A325" s="8">
        <x:f>weather_data!B325</x:f>
        <x:v>46089.60416666666</x:v>
      </x:c>
      <x:c r="B325" s="9">
        <x:f>INT(A325)</x:f>
        <x:v>46089</x:v>
      </x:c>
      <x:c r="C325" s="10" t="str">
        <x:f>TEXT(B325,"yyyy-mm")</x:f>
        <x:v>2026-03</x:v>
      </x:c>
      <x:c r="D325" s="10">
        <x:f>MONTH(B325)</x:f>
        <x:v>3</x:v>
      </x:c>
      <x:c r="E325" s="10" t="str">
        <x:f>TEXT(B325,"mmmm")</x:f>
        <x:v>March</x:v>
      </x:c>
      <x:c r="F325" s="10" t="str">
        <x:f>"Q"&amp;ROUNDUP(D325/3,0)</x:f>
        <x:v>Q1</x:v>
      </x:c>
      <x:c r="G325" s="10" t="str">
        <x:f>IF(OR(D325=12,D325&lt;=2),"Winter",IF(D325&lt;=5,"Spring",IF(D325&lt;=8,"Summer","Autumn")))</x:f>
        <x:v>Spring</x:v>
      </x:c>
      <x:c r="H325" s="11">
        <x:f>weather_data!E325-weather_data!D325</x:f>
        <x:v>0.3000000000000007</x:v>
      </x:c>
      <x:c r="I325" s="10">
        <x:f>IF(OR(weather_data!H325="light rain",weather_data!H325="moderate rain",weather_data!H325="drizzle",weather_data!H325="thunderstorm"),1,0)</x:f>
        <x:v>0</x:v>
      </x:c>
      <x:c r="J325" s="10">
        <x:f>IF(weather_data!I325&gt;=25,1,0)</x:f>
        <x:v>0</x:v>
      </x:c>
    </x:row>
    <x:row r="326">
      <x:c r="A326" s="8">
        <x:f>weather_data!B326</x:f>
        <x:v>46091.69444444445</x:v>
      </x:c>
      <x:c r="B326" s="9">
        <x:f>INT(A326)</x:f>
        <x:v>46091</x:v>
      </x:c>
      <x:c r="C326" s="10" t="str">
        <x:f>TEXT(B326,"yyyy-mm")</x:f>
        <x:v>2026-03</x:v>
      </x:c>
      <x:c r="D326" s="10">
        <x:f>MONTH(B326)</x:f>
        <x:v>3</x:v>
      </x:c>
      <x:c r="E326" s="10" t="str">
        <x:f>TEXT(B326,"mmmm")</x:f>
        <x:v>March</x:v>
      </x:c>
      <x:c r="F326" s="10" t="str">
        <x:f>"Q"&amp;ROUNDUP(D326/3,0)</x:f>
        <x:v>Q1</x:v>
      </x:c>
      <x:c r="G326" s="10" t="str">
        <x:f>IF(OR(D326=12,D326&lt;=2),"Winter",IF(D326&lt;=5,"Spring",IF(D326&lt;=8,"Summer","Autumn")))</x:f>
        <x:v>Spring</x:v>
      </x:c>
      <x:c r="H326" s="11">
        <x:f>weather_data!E326-weather_data!D326</x:f>
        <x:v>0.5999999999999996</x:v>
      </x:c>
      <x:c r="I326" s="10">
        <x:f>IF(OR(weather_data!H326="light rain",weather_data!H326="moderate rain",weather_data!H326="drizzle",weather_data!H326="thunderstorm"),1,0)</x:f>
        <x:v>0</x:v>
      </x:c>
      <x:c r="J326" s="10">
        <x:f>IF(weather_data!I326&gt;=25,1,0)</x:f>
        <x:v>1</x:v>
      </x:c>
    </x:row>
    <x:row r="327">
      <x:c r="A327" s="8">
        <x:f>weather_data!B327</x:f>
        <x:v>46092.58333333334</x:v>
      </x:c>
      <x:c r="B327" s="9">
        <x:f>INT(A327)</x:f>
        <x:v>46092</x:v>
      </x:c>
      <x:c r="C327" s="10" t="str">
        <x:f>TEXT(B327,"yyyy-mm")</x:f>
        <x:v>2026-03</x:v>
      </x:c>
      <x:c r="D327" s="10">
        <x:f>MONTH(B327)</x:f>
        <x:v>3</x:v>
      </x:c>
      <x:c r="E327" s="10" t="str">
        <x:f>TEXT(B327,"mmmm")</x:f>
        <x:v>March</x:v>
      </x:c>
      <x:c r="F327" s="10" t="str">
        <x:f>"Q"&amp;ROUNDUP(D327/3,0)</x:f>
        <x:v>Q1</x:v>
      </x:c>
      <x:c r="G327" s="10" t="str">
        <x:f>IF(OR(D327=12,D327&lt;=2),"Winter",IF(D327&lt;=5,"Spring",IF(D327&lt;=8,"Summer","Autumn")))</x:f>
        <x:v>Spring</x:v>
      </x:c>
      <x:c r="H327" s="11">
        <x:f>weather_data!E327-weather_data!D327</x:f>
        <x:v>-1</x:v>
      </x:c>
      <x:c r="I327" s="10">
        <x:f>IF(OR(weather_data!H327="light rain",weather_data!H327="moderate rain",weather_data!H327="drizzle",weather_data!H327="thunderstorm"),1,0)</x:f>
        <x:v>0</x:v>
      </x:c>
      <x:c r="J327" s="10">
        <x:f>IF(weather_data!I327&gt;=25,1,0)</x:f>
        <x:v>0</x:v>
      </x:c>
    </x:row>
    <x:row r="328">
      <x:c r="A328" s="8">
        <x:f>weather_data!B328</x:f>
        <x:v>46093.65972222222</x:v>
      </x:c>
      <x:c r="B328" s="9">
        <x:f>INT(A328)</x:f>
        <x:v>46093</x:v>
      </x:c>
      <x:c r="C328" s="10" t="str">
        <x:f>TEXT(B328,"yyyy-mm")</x:f>
        <x:v>2026-03</x:v>
      </x:c>
      <x:c r="D328" s="10">
        <x:f>MONTH(B328)</x:f>
        <x:v>3</x:v>
      </x:c>
      <x:c r="E328" s="10" t="str">
        <x:f>TEXT(B328,"mmmm")</x:f>
        <x:v>March</x:v>
      </x:c>
      <x:c r="F328" s="10" t="str">
        <x:f>"Q"&amp;ROUNDUP(D328/3,0)</x:f>
        <x:v>Q1</x:v>
      </x:c>
      <x:c r="G328" s="10" t="str">
        <x:f>IF(OR(D328=12,D328&lt;=2),"Winter",IF(D328&lt;=5,"Spring",IF(D328&lt;=8,"Summer","Autumn")))</x:f>
        <x:v>Spring</x:v>
      </x:c>
      <x:c r="H328" s="11">
        <x:f>weather_data!E328-weather_data!D328</x:f>
        <x:v>0.8000000000000007</x:v>
      </x:c>
      <x:c r="I328" s="10">
        <x:f>IF(OR(weather_data!H328="light rain",weather_data!H328="moderate rain",weather_data!H328="drizzle",weather_data!H328="thunderstorm"),1,0)</x:f>
        <x:v>0</x:v>
      </x:c>
      <x:c r="J328" s="10">
        <x:f>IF(weather_data!I328&gt;=25,1,0)</x:f>
        <x:v>0</x:v>
      </x:c>
    </x:row>
    <x:row r="329">
      <x:c r="A329" s="8">
        <x:f>weather_data!B329</x:f>
        <x:v>46094.65277777778</x:v>
      </x:c>
      <x:c r="B329" s="9">
        <x:f>INT(A329)</x:f>
        <x:v>46094</x:v>
      </x:c>
      <x:c r="C329" s="10" t="str">
        <x:f>TEXT(B329,"yyyy-mm")</x:f>
        <x:v>2026-03</x:v>
      </x:c>
      <x:c r="D329" s="10">
        <x:f>MONTH(B329)</x:f>
        <x:v>3</x:v>
      </x:c>
      <x:c r="E329" s="10" t="str">
        <x:f>TEXT(B329,"mmmm")</x:f>
        <x:v>March</x:v>
      </x:c>
      <x:c r="F329" s="10" t="str">
        <x:f>"Q"&amp;ROUNDUP(D329/3,0)</x:f>
        <x:v>Q1</x:v>
      </x:c>
      <x:c r="G329" s="10" t="str">
        <x:f>IF(OR(D329=12,D329&lt;=2),"Winter",IF(D329&lt;=5,"Spring",IF(D329&lt;=8,"Summer","Autumn")))</x:f>
        <x:v>Spring</x:v>
      </x:c>
      <x:c r="H329" s="11">
        <x:f>weather_data!E329-weather_data!D329</x:f>
        <x:v>-1.0999999999999996</x:v>
      </x:c>
      <x:c r="I329" s="10">
        <x:f>IF(OR(weather_data!H329="light rain",weather_data!H329="moderate rain",weather_data!H329="drizzle",weather_data!H329="thunderstorm"),1,0)</x:f>
        <x:v>1</x:v>
      </x:c>
      <x:c r="J329" s="10">
        <x:f>IF(weather_data!I329&gt;=25,1,0)</x:f>
        <x:v>0</x:v>
      </x:c>
    </x:row>
    <x:row r="330">
      <x:c r="A330" s="8">
        <x:f>weather_data!B330</x:f>
        <x:v>46095.88194444445</x:v>
      </x:c>
      <x:c r="B330" s="9">
        <x:f>INT(A330)</x:f>
        <x:v>46095</x:v>
      </x:c>
      <x:c r="C330" s="10" t="str">
        <x:f>TEXT(B330,"yyyy-mm")</x:f>
        <x:v>2026-03</x:v>
      </x:c>
      <x:c r="D330" s="10">
        <x:f>MONTH(B330)</x:f>
        <x:v>3</x:v>
      </x:c>
      <x:c r="E330" s="10" t="str">
        <x:f>TEXT(B330,"mmmm")</x:f>
        <x:v>March</x:v>
      </x:c>
      <x:c r="F330" s="10" t="str">
        <x:f>"Q"&amp;ROUNDUP(D330/3,0)</x:f>
        <x:v>Q1</x:v>
      </x:c>
      <x:c r="G330" s="10" t="str">
        <x:f>IF(OR(D330=12,D330&lt;=2),"Winter",IF(D330&lt;=5,"Spring",IF(D330&lt;=8,"Summer","Autumn")))</x:f>
        <x:v>Spring</x:v>
      </x:c>
      <x:c r="H330" s="11">
        <x:f>weather_data!E330-weather_data!D330</x:f>
        <x:v>0.5</x:v>
      </x:c>
      <x:c r="I330" s="10">
        <x:f>IF(OR(weather_data!H330="light rain",weather_data!H330="moderate rain",weather_data!H330="drizzle",weather_data!H330="thunderstorm"),1,0)</x:f>
        <x:v>1</x:v>
      </x:c>
      <x:c r="J330" s="10">
        <x:f>IF(weather_data!I330&gt;=25,1,0)</x:f>
        <x:v>1</x:v>
      </x:c>
    </x:row>
    <x:row r="331">
      <x:c r="A331" s="8">
        <x:f>weather_data!B331</x:f>
        <x:v>46096.86111111111</x:v>
      </x:c>
      <x:c r="B331" s="9">
        <x:f>INT(A331)</x:f>
        <x:v>46096</x:v>
      </x:c>
      <x:c r="C331" s="10" t="str">
        <x:f>TEXT(B331,"yyyy-mm")</x:f>
        <x:v>2026-03</x:v>
      </x:c>
      <x:c r="D331" s="10">
        <x:f>MONTH(B331)</x:f>
        <x:v>3</x:v>
      </x:c>
      <x:c r="E331" s="10" t="str">
        <x:f>TEXT(B331,"mmmm")</x:f>
        <x:v>March</x:v>
      </x:c>
      <x:c r="F331" s="10" t="str">
        <x:f>"Q"&amp;ROUNDUP(D331/3,0)</x:f>
        <x:v>Q1</x:v>
      </x:c>
      <x:c r="G331" s="10" t="str">
        <x:f>IF(OR(D331=12,D331&lt;=2),"Winter",IF(D331&lt;=5,"Spring",IF(D331&lt;=8,"Summer","Autumn")))</x:f>
        <x:v>Spring</x:v>
      </x:c>
      <x:c r="H331" s="11">
        <x:f>weather_data!E331-weather_data!D331</x:f>
        <x:v>-0.8000000000000007</x:v>
      </x:c>
      <x:c r="I331" s="10">
        <x:f>IF(OR(weather_data!H331="light rain",weather_data!H331="moderate rain",weather_data!H331="drizzle",weather_data!H331="thunderstorm"),1,0)</x:f>
        <x:v>1</x:v>
      </x:c>
      <x:c r="J331" s="10">
        <x:f>IF(weather_data!I331&gt;=25,1,0)</x:f>
        <x:v>1</x:v>
      </x:c>
    </x:row>
    <x:row r="332">
      <x:c r="A332" s="8">
        <x:f>weather_data!B332</x:f>
        <x:v>46097.88888888889</x:v>
      </x:c>
      <x:c r="B332" s="9">
        <x:f>INT(A332)</x:f>
        <x:v>46097</x:v>
      </x:c>
      <x:c r="C332" s="10" t="str">
        <x:f>TEXT(B332,"yyyy-mm")</x:f>
        <x:v>2026-03</x:v>
      </x:c>
      <x:c r="D332" s="10">
        <x:f>MONTH(B332)</x:f>
        <x:v>3</x:v>
      </x:c>
      <x:c r="E332" s="10" t="str">
        <x:f>TEXT(B332,"mmmm")</x:f>
        <x:v>March</x:v>
      </x:c>
      <x:c r="F332" s="10" t="str">
        <x:f>"Q"&amp;ROUNDUP(D332/3,0)</x:f>
        <x:v>Q1</x:v>
      </x:c>
      <x:c r="G332" s="10" t="str">
        <x:f>IF(OR(D332=12,D332&lt;=2),"Winter",IF(D332&lt;=5,"Spring",IF(D332&lt;=8,"Summer","Autumn")))</x:f>
        <x:v>Spring</x:v>
      </x:c>
      <x:c r="H332" s="11">
        <x:f>weather_data!E332-weather_data!D332</x:f>
        <x:v>0.5000000000000018</x:v>
      </x:c>
      <x:c r="I332" s="10">
        <x:f>IF(OR(weather_data!H332="light rain",weather_data!H332="moderate rain",weather_data!H332="drizzle",weather_data!H332="thunderstorm"),1,0)</x:f>
        <x:v>0</x:v>
      </x:c>
      <x:c r="J332" s="10">
        <x:f>IF(weather_data!I332&gt;=25,1,0)</x:f>
        <x:v>0</x:v>
      </x:c>
    </x:row>
    <x:row r="333">
      <x:c r="A333" s="8">
        <x:f>weather_data!B333</x:f>
        <x:v>46098.69444444445</x:v>
      </x:c>
      <x:c r="B333" s="9">
        <x:f>INT(A333)</x:f>
        <x:v>46098</x:v>
      </x:c>
      <x:c r="C333" s="10" t="str">
        <x:f>TEXT(B333,"yyyy-mm")</x:f>
        <x:v>2026-03</x:v>
      </x:c>
      <x:c r="D333" s="10">
        <x:f>MONTH(B333)</x:f>
        <x:v>3</x:v>
      </x:c>
      <x:c r="E333" s="10" t="str">
        <x:f>TEXT(B333,"mmmm")</x:f>
        <x:v>March</x:v>
      </x:c>
      <x:c r="F333" s="10" t="str">
        <x:f>"Q"&amp;ROUNDUP(D333/3,0)</x:f>
        <x:v>Q1</x:v>
      </x:c>
      <x:c r="G333" s="10" t="str">
        <x:f>IF(OR(D333=12,D333&lt;=2),"Winter",IF(D333&lt;=5,"Spring",IF(D333&lt;=8,"Summer","Autumn")))</x:f>
        <x:v>Spring</x:v>
      </x:c>
      <x:c r="H333" s="11">
        <x:f>weather_data!E333-weather_data!D333</x:f>
        <x:v>0.8000000000000007</x:v>
      </x:c>
      <x:c r="I333" s="10">
        <x:f>IF(OR(weather_data!H333="light rain",weather_data!H333="moderate rain",weather_data!H333="drizzle",weather_data!H333="thunderstorm"),1,0)</x:f>
        <x:v>0</x:v>
      </x:c>
      <x:c r="J333" s="10">
        <x:f>IF(weather_data!I333&gt;=25,1,0)</x:f>
        <x:v>0</x:v>
      </x:c>
    </x:row>
    <x:row r="334">
      <x:c r="A334" s="8">
        <x:f>weather_data!B334</x:f>
        <x:v>46099.77083333334</x:v>
      </x:c>
      <x:c r="B334" s="9">
        <x:f>INT(A334)</x:f>
        <x:v>46099</x:v>
      </x:c>
      <x:c r="C334" s="10" t="str">
        <x:f>TEXT(B334,"yyyy-mm")</x:f>
        <x:v>2026-03</x:v>
      </x:c>
      <x:c r="D334" s="10">
        <x:f>MONTH(B334)</x:f>
        <x:v>3</x:v>
      </x:c>
      <x:c r="E334" s="10" t="str">
        <x:f>TEXT(B334,"mmmm")</x:f>
        <x:v>March</x:v>
      </x:c>
      <x:c r="F334" s="10" t="str">
        <x:f>"Q"&amp;ROUNDUP(D334/3,0)</x:f>
        <x:v>Q1</x:v>
      </x:c>
      <x:c r="G334" s="10" t="str">
        <x:f>IF(OR(D334=12,D334&lt;=2),"Winter",IF(D334&lt;=5,"Spring",IF(D334&lt;=8,"Summer","Autumn")))</x:f>
        <x:v>Spring</x:v>
      </x:c>
      <x:c r="H334" s="11">
        <x:f>weather_data!E334-weather_data!D334</x:f>
        <x:v>0.5</x:v>
      </x:c>
      <x:c r="I334" s="10">
        <x:f>IF(OR(weather_data!H334="light rain",weather_data!H334="moderate rain",weather_data!H334="drizzle",weather_data!H334="thunderstorm"),1,0)</x:f>
        <x:v>0</x:v>
      </x:c>
      <x:c r="J334" s="10">
        <x:f>IF(weather_data!I334&gt;=25,1,0)</x:f>
        <x:v>0</x:v>
      </x:c>
    </x:row>
    <x:row r="335">
      <x:c r="A335" s="8">
        <x:f>weather_data!B335</x:f>
        <x:v>46100.67361111111</x:v>
      </x:c>
      <x:c r="B335" s="9">
        <x:f>INT(A335)</x:f>
        <x:v>46100</x:v>
      </x:c>
      <x:c r="C335" s="10" t="str">
        <x:f>TEXT(B335,"yyyy-mm")</x:f>
        <x:v>2026-03</x:v>
      </x:c>
      <x:c r="D335" s="10">
        <x:f>MONTH(B335)</x:f>
        <x:v>3</x:v>
      </x:c>
      <x:c r="E335" s="10" t="str">
        <x:f>TEXT(B335,"mmmm")</x:f>
        <x:v>March</x:v>
      </x:c>
      <x:c r="F335" s="10" t="str">
        <x:f>"Q"&amp;ROUNDUP(D335/3,0)</x:f>
        <x:v>Q1</x:v>
      </x:c>
      <x:c r="G335" s="10" t="str">
        <x:f>IF(OR(D335=12,D335&lt;=2),"Winter",IF(D335&lt;=5,"Spring",IF(D335&lt;=8,"Summer","Autumn")))</x:f>
        <x:v>Spring</x:v>
      </x:c>
      <x:c r="H335" s="11">
        <x:f>weather_data!E335-weather_data!D335</x:f>
        <x:v>1.2000000000000028</x:v>
      </x:c>
      <x:c r="I335" s="10">
        <x:f>IF(OR(weather_data!H335="light rain",weather_data!H335="moderate rain",weather_data!H335="drizzle",weather_data!H335="thunderstorm"),1,0)</x:f>
        <x:v>0</x:v>
      </x:c>
      <x:c r="J335" s="10">
        <x:f>IF(weather_data!I335&gt;=25,1,0)</x:f>
        <x:v>0</x:v>
      </x:c>
    </x:row>
    <x:row r="336">
      <x:c r="A336" s="8">
        <x:f>weather_data!B336</x:f>
        <x:v>46101.56944444445</x:v>
      </x:c>
      <x:c r="B336" s="9">
        <x:f>INT(A336)</x:f>
        <x:v>46101</x:v>
      </x:c>
      <x:c r="C336" s="10" t="str">
        <x:f>TEXT(B336,"yyyy-mm")</x:f>
        <x:v>2026-03</x:v>
      </x:c>
      <x:c r="D336" s="10">
        <x:f>MONTH(B336)</x:f>
        <x:v>3</x:v>
      </x:c>
      <x:c r="E336" s="10" t="str">
        <x:f>TEXT(B336,"mmmm")</x:f>
        <x:v>March</x:v>
      </x:c>
      <x:c r="F336" s="10" t="str">
        <x:f>"Q"&amp;ROUNDUP(D336/3,0)</x:f>
        <x:v>Q1</x:v>
      </x:c>
      <x:c r="G336" s="10" t="str">
        <x:f>IF(OR(D336=12,D336&lt;=2),"Winter",IF(D336&lt;=5,"Spring",IF(D336&lt;=8,"Summer","Autumn")))</x:f>
        <x:v>Spring</x:v>
      </x:c>
      <x:c r="H336" s="11">
        <x:f>weather_data!E336-weather_data!D336</x:f>
        <x:v>0.5999999999999996</x:v>
      </x:c>
      <x:c r="I336" s="10">
        <x:f>IF(OR(weather_data!H336="light rain",weather_data!H336="moderate rain",weather_data!H336="drizzle",weather_data!H336="thunderstorm"),1,0)</x:f>
        <x:v>0</x:v>
      </x:c>
      <x:c r="J336" s="10">
        <x:f>IF(weather_data!I336&gt;=25,1,0)</x:f>
        <x:v>0</x:v>
      </x:c>
    </x:row>
    <x:row r="337">
      <x:c r="A337" s="8">
        <x:f>weather_data!B337</x:f>
        <x:v>46102.75694444445</x:v>
      </x:c>
      <x:c r="B337" s="9">
        <x:f>INT(A337)</x:f>
        <x:v>46102</x:v>
      </x:c>
      <x:c r="C337" s="10" t="str">
        <x:f>TEXT(B337,"yyyy-mm")</x:f>
        <x:v>2026-03</x:v>
      </x:c>
      <x:c r="D337" s="10">
        <x:f>MONTH(B337)</x:f>
        <x:v>3</x:v>
      </x:c>
      <x:c r="E337" s="10" t="str">
        <x:f>TEXT(B337,"mmmm")</x:f>
        <x:v>March</x:v>
      </x:c>
      <x:c r="F337" s="10" t="str">
        <x:f>"Q"&amp;ROUNDUP(D337/3,0)</x:f>
        <x:v>Q1</x:v>
      </x:c>
      <x:c r="G337" s="10" t="str">
        <x:f>IF(OR(D337=12,D337&lt;=2),"Winter",IF(D337&lt;=5,"Spring",IF(D337&lt;=8,"Summer","Autumn")))</x:f>
        <x:v>Spring</x:v>
      </x:c>
      <x:c r="H337" s="11">
        <x:f>weather_data!E337-weather_data!D337</x:f>
        <x:v>0.6000000000000014</x:v>
      </x:c>
      <x:c r="I337" s="10">
        <x:f>IF(OR(weather_data!H337="light rain",weather_data!H337="moderate rain",weather_data!H337="drizzle",weather_data!H337="thunderstorm"),1,0)</x:f>
        <x:v>0</x:v>
      </x:c>
      <x:c r="J337" s="10">
        <x:f>IF(weather_data!I337&gt;=25,1,0)</x:f>
        <x:v>0</x:v>
      </x:c>
    </x:row>
    <x:row r="338">
      <x:c r="A338" s="8">
        <x:f>weather_data!B338</x:f>
        <x:v>46103.79166666666</x:v>
      </x:c>
      <x:c r="B338" s="9">
        <x:f>INT(A338)</x:f>
        <x:v>46103</x:v>
      </x:c>
      <x:c r="C338" s="10" t="str">
        <x:f>TEXT(B338,"yyyy-mm")</x:f>
        <x:v>2026-03</x:v>
      </x:c>
      <x:c r="D338" s="10">
        <x:f>MONTH(B338)</x:f>
        <x:v>3</x:v>
      </x:c>
      <x:c r="E338" s="10" t="str">
        <x:f>TEXT(B338,"mmmm")</x:f>
        <x:v>March</x:v>
      </x:c>
      <x:c r="F338" s="10" t="str">
        <x:f>"Q"&amp;ROUNDUP(D338/3,0)</x:f>
        <x:v>Q1</x:v>
      </x:c>
      <x:c r="G338" s="10" t="str">
        <x:f>IF(OR(D338=12,D338&lt;=2),"Winter",IF(D338&lt;=5,"Spring",IF(D338&lt;=8,"Summer","Autumn")))</x:f>
        <x:v>Spring</x:v>
      </x:c>
      <x:c r="H338" s="11">
        <x:f>weather_data!E338-weather_data!D338</x:f>
        <x:v>0.5</x:v>
      </x:c>
      <x:c r="I338" s="10">
        <x:f>IF(OR(weather_data!H338="light rain",weather_data!H338="moderate rain",weather_data!H338="drizzle",weather_data!H338="thunderstorm"),1,0)</x:f>
        <x:v>1</x:v>
      </x:c>
      <x:c r="J338" s="10">
        <x:f>IF(weather_data!I338&gt;=25,1,0)</x:f>
        <x:v>0</x:v>
      </x:c>
    </x:row>
    <x:row r="339">
      <x:c r="A339" s="8">
        <x:f>weather_data!B339</x:f>
        <x:v>46104.70138888889</x:v>
      </x:c>
      <x:c r="B339" s="9">
        <x:f>INT(A339)</x:f>
        <x:v>46104</x:v>
      </x:c>
      <x:c r="C339" s="10" t="str">
        <x:f>TEXT(B339,"yyyy-mm")</x:f>
        <x:v>2026-03</x:v>
      </x:c>
      <x:c r="D339" s="10">
        <x:f>MONTH(B339)</x:f>
        <x:v>3</x:v>
      </x:c>
      <x:c r="E339" s="10" t="str">
        <x:f>TEXT(B339,"mmmm")</x:f>
        <x:v>March</x:v>
      </x:c>
      <x:c r="F339" s="10" t="str">
        <x:f>"Q"&amp;ROUNDUP(D339/3,0)</x:f>
        <x:v>Q1</x:v>
      </x:c>
      <x:c r="G339" s="10" t="str">
        <x:f>IF(OR(D339=12,D339&lt;=2),"Winter",IF(D339&lt;=5,"Spring",IF(D339&lt;=8,"Summer","Autumn")))</x:f>
        <x:v>Spring</x:v>
      </x:c>
      <x:c r="H339" s="11">
        <x:f>weather_data!E339-weather_data!D339</x:f>
        <x:v>-0.6999999999999993</x:v>
      </x:c>
      <x:c r="I339" s="10">
        <x:f>IF(OR(weather_data!H339="light rain",weather_data!H339="moderate rain",weather_data!H339="drizzle",weather_data!H339="thunderstorm"),1,0)</x:f>
        <x:v>0</x:v>
      </x:c>
      <x:c r="J339" s="10">
        <x:f>IF(weather_data!I339&gt;=25,1,0)</x:f>
        <x:v>0</x:v>
      </x:c>
    </x:row>
    <x:row r="340">
      <x:c r="A340" s="8">
        <x:f>weather_data!B340</x:f>
        <x:v>46105.90972222222</x:v>
      </x:c>
      <x:c r="B340" s="9">
        <x:f>INT(A340)</x:f>
        <x:v>46105</x:v>
      </x:c>
      <x:c r="C340" s="10" t="str">
        <x:f>TEXT(B340,"yyyy-mm")</x:f>
        <x:v>2026-03</x:v>
      </x:c>
      <x:c r="D340" s="10">
        <x:f>MONTH(B340)</x:f>
        <x:v>3</x:v>
      </x:c>
      <x:c r="E340" s="10" t="str">
        <x:f>TEXT(B340,"mmmm")</x:f>
        <x:v>March</x:v>
      </x:c>
      <x:c r="F340" s="10" t="str">
        <x:f>"Q"&amp;ROUNDUP(D340/3,0)</x:f>
        <x:v>Q1</x:v>
      </x:c>
      <x:c r="G340" s="10" t="str">
        <x:f>IF(OR(D340=12,D340&lt;=2),"Winter",IF(D340&lt;=5,"Spring",IF(D340&lt;=8,"Summer","Autumn")))</x:f>
        <x:v>Spring</x:v>
      </x:c>
      <x:c r="H340" s="11">
        <x:f>weather_data!E340-weather_data!D340</x:f>
        <x:v>0</x:v>
      </x:c>
      <x:c r="I340" s="10">
        <x:f>IF(OR(weather_data!H340="light rain",weather_data!H340="moderate rain",weather_data!H340="drizzle",weather_data!H340="thunderstorm"),1,0)</x:f>
        <x:v>1</x:v>
      </x:c>
      <x:c r="J340" s="10">
        <x:f>IF(weather_data!I340&gt;=25,1,0)</x:f>
        <x:v>1</x:v>
      </x:c>
    </x:row>
    <x:row r="341">
      <x:c r="A341" s="8">
        <x:f>weather_data!B341</x:f>
        <x:v>46106.77083333334</x:v>
      </x:c>
      <x:c r="B341" s="9">
        <x:f>INT(A341)</x:f>
        <x:v>46106</x:v>
      </x:c>
      <x:c r="C341" s="10" t="str">
        <x:f>TEXT(B341,"yyyy-mm")</x:f>
        <x:v>2026-03</x:v>
      </x:c>
      <x:c r="D341" s="10">
        <x:f>MONTH(B341)</x:f>
        <x:v>3</x:v>
      </x:c>
      <x:c r="E341" s="10" t="str">
        <x:f>TEXT(B341,"mmmm")</x:f>
        <x:v>March</x:v>
      </x:c>
      <x:c r="F341" s="10" t="str">
        <x:f>"Q"&amp;ROUNDUP(D341/3,0)</x:f>
        <x:v>Q1</x:v>
      </x:c>
      <x:c r="G341" s="10" t="str">
        <x:f>IF(OR(D341=12,D341&lt;=2),"Winter",IF(D341&lt;=5,"Spring",IF(D341&lt;=8,"Summer","Autumn")))</x:f>
        <x:v>Spring</x:v>
      </x:c>
      <x:c r="H341" s="11">
        <x:f>weather_data!E341-weather_data!D341</x:f>
        <x:v>0.3999999999999986</x:v>
      </x:c>
      <x:c r="I341" s="10">
        <x:f>IF(OR(weather_data!H341="light rain",weather_data!H341="moderate rain",weather_data!H341="drizzle",weather_data!H341="thunderstorm"),1,0)</x:f>
        <x:v>0</x:v>
      </x:c>
      <x:c r="J341" s="10">
        <x:f>IF(weather_data!I341&gt;=25,1,0)</x:f>
        <x:v>0</x:v>
      </x:c>
    </x:row>
    <x:row r="342">
      <x:c r="A342" s="8">
        <x:f>weather_data!B342</x:f>
        <x:v>46108.4375</x:v>
      </x:c>
      <x:c r="B342" s="9">
        <x:f>INT(A342)</x:f>
        <x:v>46108</x:v>
      </x:c>
      <x:c r="C342" s="10" t="str">
        <x:f>TEXT(B342,"yyyy-mm")</x:f>
        <x:v>2026-03</x:v>
      </x:c>
      <x:c r="D342" s="10">
        <x:f>MONTH(B342)</x:f>
        <x:v>3</x:v>
      </x:c>
      <x:c r="E342" s="10" t="str">
        <x:f>TEXT(B342,"mmmm")</x:f>
        <x:v>March</x:v>
      </x:c>
      <x:c r="F342" s="10" t="str">
        <x:f>"Q"&amp;ROUNDUP(D342/3,0)</x:f>
        <x:v>Q1</x:v>
      </x:c>
      <x:c r="G342" s="10" t="str">
        <x:f>IF(OR(D342=12,D342&lt;=2),"Winter",IF(D342&lt;=5,"Spring",IF(D342&lt;=8,"Summer","Autumn")))</x:f>
        <x:v>Spring</x:v>
      </x:c>
      <x:c r="H342" s="11">
        <x:f>weather_data!E342-weather_data!D342</x:f>
        <x:v>-1</x:v>
      </x:c>
      <x:c r="I342" s="10">
        <x:f>IF(OR(weather_data!H342="light rain",weather_data!H342="moderate rain",weather_data!H342="drizzle",weather_data!H342="thunderstorm"),1,0)</x:f>
        <x:v>1</x:v>
      </x:c>
      <x:c r="J342" s="10">
        <x:f>IF(weather_data!I342&gt;=25,1,0)</x:f>
        <x:v>0</x:v>
      </x:c>
    </x:row>
    <x:row r="343">
      <x:c r="A343" s="8">
        <x:f>weather_data!B343</x:f>
        <x:v>46109.29861111111</x:v>
      </x:c>
      <x:c r="B343" s="9">
        <x:f>INT(A343)</x:f>
        <x:v>46109</x:v>
      </x:c>
      <x:c r="C343" s="10" t="str">
        <x:f>TEXT(B343,"yyyy-mm")</x:f>
        <x:v>2026-03</x:v>
      </x:c>
      <x:c r="D343" s="10">
        <x:f>MONTH(B343)</x:f>
        <x:v>3</x:v>
      </x:c>
      <x:c r="E343" s="10" t="str">
        <x:f>TEXT(B343,"mmmm")</x:f>
        <x:v>March</x:v>
      </x:c>
      <x:c r="F343" s="10" t="str">
        <x:f>"Q"&amp;ROUNDUP(D343/3,0)</x:f>
        <x:v>Q1</x:v>
      </x:c>
      <x:c r="G343" s="10" t="str">
        <x:f>IF(OR(D343=12,D343&lt;=2),"Winter",IF(D343&lt;=5,"Spring",IF(D343&lt;=8,"Summer","Autumn")))</x:f>
        <x:v>Spring</x:v>
      </x:c>
      <x:c r="H343" s="11">
        <x:f>weather_data!E343-weather_data!D343</x:f>
        <x:v>-1.3000000000000007</x:v>
      </x:c>
      <x:c r="I343" s="10">
        <x:f>IF(OR(weather_data!H343="light rain",weather_data!H343="moderate rain",weather_data!H343="drizzle",weather_data!H343="thunderstorm"),1,0)</x:f>
        <x:v>1</x:v>
      </x:c>
      <x:c r="J343" s="10">
        <x:f>IF(weather_data!I343&gt;=25,1,0)</x:f>
        <x:v>0</x:v>
      </x:c>
    </x:row>
    <x:row r="344">
      <x:c r="A344" s="8">
        <x:f>weather_data!B344</x:f>
        <x:v>46110.66666666666</x:v>
      </x:c>
      <x:c r="B344" s="9">
        <x:f>INT(A344)</x:f>
        <x:v>46110</x:v>
      </x:c>
      <x:c r="C344" s="10" t="str">
        <x:f>TEXT(B344,"yyyy-mm")</x:f>
        <x:v>2026-03</x:v>
      </x:c>
      <x:c r="D344" s="10">
        <x:f>MONTH(B344)</x:f>
        <x:v>3</x:v>
      </x:c>
      <x:c r="E344" s="10" t="str">
        <x:f>TEXT(B344,"mmmm")</x:f>
        <x:v>March</x:v>
      </x:c>
      <x:c r="F344" s="10" t="str">
        <x:f>"Q"&amp;ROUNDUP(D344/3,0)</x:f>
        <x:v>Q1</x:v>
      </x:c>
      <x:c r="G344" s="10" t="str">
        <x:f>IF(OR(D344=12,D344&lt;=2),"Winter",IF(D344&lt;=5,"Spring",IF(D344&lt;=8,"Summer","Autumn")))</x:f>
        <x:v>Spring</x:v>
      </x:c>
      <x:c r="H344" s="11">
        <x:f>weather_data!E344-weather_data!D344</x:f>
        <x:v>0.8000000000000007</x:v>
      </x:c>
      <x:c r="I344" s="10">
        <x:f>IF(OR(weather_data!H344="light rain",weather_data!H344="moderate rain",weather_data!H344="drizzle",weather_data!H344="thunderstorm"),1,0)</x:f>
        <x:v>0</x:v>
      </x:c>
      <x:c r="J344" s="10">
        <x:f>IF(weather_data!I344&gt;=25,1,0)</x:f>
        <x:v>0</x:v>
      </x:c>
    </x:row>
    <x:row r="345">
      <x:c r="A345" s="8">
        <x:f>weather_data!B345</x:f>
        <x:v>46111.83333333334</x:v>
      </x:c>
      <x:c r="B345" s="9">
        <x:f>INT(A345)</x:f>
        <x:v>46111</x:v>
      </x:c>
      <x:c r="C345" s="10" t="str">
        <x:f>TEXT(B345,"yyyy-mm")</x:f>
        <x:v>2026-03</x:v>
      </x:c>
      <x:c r="D345" s="10">
        <x:f>MONTH(B345)</x:f>
        <x:v>3</x:v>
      </x:c>
      <x:c r="E345" s="10" t="str">
        <x:f>TEXT(B345,"mmmm")</x:f>
        <x:v>March</x:v>
      </x:c>
      <x:c r="F345" s="10" t="str">
        <x:f>"Q"&amp;ROUNDUP(D345/3,0)</x:f>
        <x:v>Q1</x:v>
      </x:c>
      <x:c r="G345" s="10" t="str">
        <x:f>IF(OR(D345=12,D345&lt;=2),"Winter",IF(D345&lt;=5,"Spring",IF(D345&lt;=8,"Summer","Autumn")))</x:f>
        <x:v>Spring</x:v>
      </x:c>
      <x:c r="H345" s="11">
        <x:f>weather_data!E345-weather_data!D345</x:f>
        <x:v>-0.20000000000000284</x:v>
      </x:c>
      <x:c r="I345" s="10">
        <x:f>IF(OR(weather_data!H345="light rain",weather_data!H345="moderate rain",weather_data!H345="drizzle",weather_data!H345="thunderstorm"),1,0)</x:f>
        <x:v>0</x:v>
      </x:c>
      <x:c r="J345" s="10">
        <x:f>IF(weather_data!I345&gt;=25,1,0)</x:f>
        <x:v>0</x:v>
      </x:c>
    </x:row>
    <x:row r="346">
      <x:c r="A346" s="8">
        <x:f>weather_data!B346</x:f>
        <x:v>46112.83333333334</x:v>
      </x:c>
      <x:c r="B346" s="9">
        <x:f>INT(A346)</x:f>
        <x:v>46112</x:v>
      </x:c>
      <x:c r="C346" s="10" t="str">
        <x:f>TEXT(B346,"yyyy-mm")</x:f>
        <x:v>2026-03</x:v>
      </x:c>
      <x:c r="D346" s="10">
        <x:f>MONTH(B346)</x:f>
        <x:v>3</x:v>
      </x:c>
      <x:c r="E346" s="10" t="str">
        <x:f>TEXT(B346,"mmmm")</x:f>
        <x:v>March</x:v>
      </x:c>
      <x:c r="F346" s="10" t="str">
        <x:f>"Q"&amp;ROUNDUP(D346/3,0)</x:f>
        <x:v>Q1</x:v>
      </x:c>
      <x:c r="G346" s="10" t="str">
        <x:f>IF(OR(D346=12,D346&lt;=2),"Winter",IF(D346&lt;=5,"Spring",IF(D346&lt;=8,"Summer","Autumn")))</x:f>
        <x:v>Spring</x:v>
      </x:c>
      <x:c r="H346" s="11">
        <x:f>weather_data!E346-weather_data!D346</x:f>
        <x:v>0.5</x:v>
      </x:c>
      <x:c r="I346" s="10">
        <x:f>IF(OR(weather_data!H346="light rain",weather_data!H346="moderate rain",weather_data!H346="drizzle",weather_data!H346="thunderstorm"),1,0)</x:f>
        <x:v>0</x:v>
      </x:c>
      <x:c r="J346" s="10">
        <x:f>IF(weather_data!I346&gt;=25,1,0)</x:f>
        <x:v>0</x:v>
      </x:c>
    </x:row>
    <x:row r="347">
      <x:c r="A347" s="8">
        <x:f>weather_data!B347</x:f>
        <x:v>46113.4375</x:v>
      </x:c>
      <x:c r="B347" s="9">
        <x:f>INT(A347)</x:f>
        <x:v>46113</x:v>
      </x:c>
      <x:c r="C347" s="10" t="str">
        <x:f>TEXT(B347,"yyyy-mm")</x:f>
        <x:v>2026-04</x:v>
      </x:c>
      <x:c r="D347" s="10">
        <x:f>MONTH(B347)</x:f>
        <x:v>4</x:v>
      </x:c>
      <x:c r="E347" s="10" t="str">
        <x:f>TEXT(B347,"mmmm")</x:f>
        <x:v>April</x:v>
      </x:c>
      <x:c r="F347" s="10" t="str">
        <x:f>"Q"&amp;ROUNDUP(D347/3,0)</x:f>
        <x:v>Q2</x:v>
      </x:c>
      <x:c r="G347" s="10" t="str">
        <x:f>IF(OR(D347=12,D347&lt;=2),"Winter",IF(D347&lt;=5,"Spring",IF(D347&lt;=8,"Summer","Autumn")))</x:f>
        <x:v>Spring</x:v>
      </x:c>
      <x:c r="H347" s="11">
        <x:f>weather_data!E347-weather_data!D347</x:f>
        <x:v>-0.8000000000000007</x:v>
      </x:c>
      <x:c r="I347" s="10">
        <x:f>IF(OR(weather_data!H347="light rain",weather_data!H347="moderate rain",weather_data!H347="drizzle",weather_data!H347="thunderstorm"),1,0)</x:f>
        <x:v>0</x:v>
      </x:c>
      <x:c r="J347" s="10">
        <x:f>IF(weather_data!I347&gt;=25,1,0)</x:f>
        <x:v>0</x:v>
      </x:c>
    </x:row>
    <x:row r="348">
      <x:c r="A348" s="8">
        <x:f>weather_data!B348</x:f>
        <x:v>46114.41666666666</x:v>
      </x:c>
      <x:c r="B348" s="9">
        <x:f>INT(A348)</x:f>
        <x:v>46114</x:v>
      </x:c>
      <x:c r="C348" s="10" t="str">
        <x:f>TEXT(B348,"yyyy-mm")</x:f>
        <x:v>2026-04</x:v>
      </x:c>
      <x:c r="D348" s="10">
        <x:f>MONTH(B348)</x:f>
        <x:v>4</x:v>
      </x:c>
      <x:c r="E348" s="10" t="str">
        <x:f>TEXT(B348,"mmmm")</x:f>
        <x:v>April</x:v>
      </x:c>
      <x:c r="F348" s="10" t="str">
        <x:f>"Q"&amp;ROUNDUP(D348/3,0)</x:f>
        <x:v>Q2</x:v>
      </x:c>
      <x:c r="G348" s="10" t="str">
        <x:f>IF(OR(D348=12,D348&lt;=2),"Winter",IF(D348&lt;=5,"Spring",IF(D348&lt;=8,"Summer","Autumn")))</x:f>
        <x:v>Spring</x:v>
      </x:c>
      <x:c r="H348" s="11">
        <x:f>weather_data!E348-weather_data!D348</x:f>
        <x:v>-0.5</x:v>
      </x:c>
      <x:c r="I348" s="10">
        <x:f>IF(OR(weather_data!H348="light rain",weather_data!H348="moderate rain",weather_data!H348="drizzle",weather_data!H348="thunderstorm"),1,0)</x:f>
        <x:v>0</x:v>
      </x:c>
      <x:c r="J348" s="10">
        <x:f>IF(weather_data!I348&gt;=25,1,0)</x:f>
        <x:v>1</x:v>
      </x:c>
    </x:row>
    <x:row r="349">
      <x:c r="A349" s="8">
        <x:f>weather_data!B349</x:f>
        <x:v>46115.88888888889</x:v>
      </x:c>
      <x:c r="B349" s="9">
        <x:f>INT(A349)</x:f>
        <x:v>46115</x:v>
      </x:c>
      <x:c r="C349" s="10" t="str">
        <x:f>TEXT(B349,"yyyy-mm")</x:f>
        <x:v>2026-04</x:v>
      </x:c>
      <x:c r="D349" s="10">
        <x:f>MONTH(B349)</x:f>
        <x:v>4</x:v>
      </x:c>
      <x:c r="E349" s="10" t="str">
        <x:f>TEXT(B349,"mmmm")</x:f>
        <x:v>April</x:v>
      </x:c>
      <x:c r="F349" s="10" t="str">
        <x:f>"Q"&amp;ROUNDUP(D349/3,0)</x:f>
        <x:v>Q2</x:v>
      </x:c>
      <x:c r="G349" s="10" t="str">
        <x:f>IF(OR(D349=12,D349&lt;=2),"Winter",IF(D349&lt;=5,"Spring",IF(D349&lt;=8,"Summer","Autumn")))</x:f>
        <x:v>Spring</x:v>
      </x:c>
      <x:c r="H349" s="11">
        <x:f>weather_data!E349-weather_data!D349</x:f>
        <x:v>-0.40000000000000213</x:v>
      </x:c>
      <x:c r="I349" s="10">
        <x:f>IF(OR(weather_data!H349="light rain",weather_data!H349="moderate rain",weather_data!H349="drizzle",weather_data!H349="thunderstorm"),1,0)</x:f>
        <x:v>0</x:v>
      </x:c>
      <x:c r="J349" s="10">
        <x:f>IF(weather_data!I349&gt;=25,1,0)</x:f>
        <x:v>0</x:v>
      </x:c>
    </x:row>
    <x:row r="350">
      <x:c r="A350" s="8">
        <x:f>weather_data!B350</x:f>
        <x:v>46116.69444444445</x:v>
      </x:c>
      <x:c r="B350" s="9">
        <x:f>INT(A350)</x:f>
        <x:v>46116</x:v>
      </x:c>
      <x:c r="C350" s="10" t="str">
        <x:f>TEXT(B350,"yyyy-mm")</x:f>
        <x:v>2026-04</x:v>
      </x:c>
      <x:c r="D350" s="10">
        <x:f>MONTH(B350)</x:f>
        <x:v>4</x:v>
      </x:c>
      <x:c r="E350" s="10" t="str">
        <x:f>TEXT(B350,"mmmm")</x:f>
        <x:v>April</x:v>
      </x:c>
      <x:c r="F350" s="10" t="str">
        <x:f>"Q"&amp;ROUNDUP(D350/3,0)</x:f>
        <x:v>Q2</x:v>
      </x:c>
      <x:c r="G350" s="10" t="str">
        <x:f>IF(OR(D350=12,D350&lt;=2),"Winter",IF(D350&lt;=5,"Spring",IF(D350&lt;=8,"Summer","Autumn")))</x:f>
        <x:v>Spring</x:v>
      </x:c>
      <x:c r="H350" s="11">
        <x:f>weather_data!E350-weather_data!D350</x:f>
        <x:v>0.9000000000000004</x:v>
      </x:c>
      <x:c r="I350" s="10">
        <x:f>IF(OR(weather_data!H350="light rain",weather_data!H350="moderate rain",weather_data!H350="drizzle",weather_data!H350="thunderstorm"),1,0)</x:f>
        <x:v>1</x:v>
      </x:c>
      <x:c r="J350" s="10">
        <x:f>IF(weather_data!I350&gt;=25,1,0)</x:f>
        <x:v>0</x:v>
      </x:c>
    </x:row>
    <x:row r="351">
      <x:c r="A351" s="8">
        <x:f>weather_data!B351</x:f>
        <x:v>46117.78472222222</x:v>
      </x:c>
      <x:c r="B351" s="9">
        <x:f>INT(A351)</x:f>
        <x:v>46117</x:v>
      </x:c>
      <x:c r="C351" s="10" t="str">
        <x:f>TEXT(B351,"yyyy-mm")</x:f>
        <x:v>2026-04</x:v>
      </x:c>
      <x:c r="D351" s="10">
        <x:f>MONTH(B351)</x:f>
        <x:v>4</x:v>
      </x:c>
      <x:c r="E351" s="10" t="str">
        <x:f>TEXT(B351,"mmmm")</x:f>
        <x:v>April</x:v>
      </x:c>
      <x:c r="F351" s="10" t="str">
        <x:f>"Q"&amp;ROUNDUP(D351/3,0)</x:f>
        <x:v>Q2</x:v>
      </x:c>
      <x:c r="G351" s="10" t="str">
        <x:f>IF(OR(D351=12,D351&lt;=2),"Winter",IF(D351&lt;=5,"Spring",IF(D351&lt;=8,"Summer","Autumn")))</x:f>
        <x:v>Spring</x:v>
      </x:c>
      <x:c r="H351" s="11">
        <x:f>weather_data!E351-weather_data!D351</x:f>
        <x:v>1</x:v>
      </x:c>
      <x:c r="I351" s="10">
        <x:f>IF(OR(weather_data!H351="light rain",weather_data!H351="moderate rain",weather_data!H351="drizzle",weather_data!H351="thunderstorm"),1,0)</x:f>
        <x:v>0</x:v>
      </x:c>
      <x:c r="J351" s="10">
        <x:f>IF(weather_data!I351&gt;=25,1,0)</x:f>
        <x:v>0</x:v>
      </x:c>
    </x:row>
  </x:sheetData>
  <x:pageMargins left="0.7" right="0.7" top="0.75" bottom="0.75" header="0.3" footer="0.3"/>
  <x:legacyDrawing xmlns:r="http://schemas.openxmlformats.org/officeDocument/2006/relationships" r:id="R7a6f794e0d7d4d84"/>
  <x:tableParts count="1">
    <x:tablePart xmlns:r="http://schemas.openxmlformats.org/officeDocument/2006/relationships" r:id="R10de189ca0624bc6"/>
  </x:tableParts>
</x:worksheet>
</file>